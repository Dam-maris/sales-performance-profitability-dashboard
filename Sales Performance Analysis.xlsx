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24226"/>
  <xr:revisionPtr revIDLastSave="0" documentId="8_{696036CA-81FE-46A2-8356-4BC3DB1FE9FD}" xr6:coauthVersionLast="47" xr6:coauthVersionMax="47" xr10:uidLastSave="{00000000-0000-0000-0000-000000000000}"/>
  <bookViews>
    <workbookView xWindow="240" yWindow="15" windowWidth="16095" windowHeight="9660" firstSheet="4" activeTab="4" xr2:uid="{00000000-000D-0000-FFFF-FFFF00000000}"/>
  </bookViews>
  <sheets>
    <sheet name="Table 1" sheetId="1" r:id="rId1"/>
    <sheet name="Sales Trend" sheetId="3" r:id="rId2"/>
    <sheet name="Customer Analysis" sheetId="4" r:id="rId3"/>
    <sheet name="Profitability" sheetId="8" r:id="rId4"/>
    <sheet name="Regional Performance" sheetId="5" r:id="rId5"/>
    <sheet name="Dashboard" sheetId="7" r:id="rId6"/>
    <sheet name="Project Overview" sheetId="9" r:id="rId7"/>
  </sheets>
  <calcPr calcId="191028"/>
  <pivotCaches>
    <pivotCache cacheId="41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sharedStrings.xml><?xml version="1.0" encoding="utf-8"?>
<sst xmlns="http://schemas.openxmlformats.org/spreadsheetml/2006/main" count="5050" uniqueCount="387">
  <si>
    <t>Order ID</t>
  </si>
  <si>
    <t>Order Date</t>
  </si>
  <si>
    <t>Product</t>
  </si>
  <si>
    <t>Category</t>
  </si>
  <si>
    <t>Sales</t>
  </si>
  <si>
    <t>Profit</t>
  </si>
  <si>
    <t>Region</t>
  </si>
  <si>
    <t>Customer Type</t>
  </si>
  <si>
    <t>Profit Margin</t>
  </si>
  <si>
    <t>Year</t>
  </si>
  <si>
    <t>Month</t>
  </si>
  <si>
    <t>2023-01-01</t>
  </si>
  <si>
    <t>Monitor</t>
  </si>
  <si>
    <t>Accessories</t>
  </si>
  <si>
    <t>West</t>
  </si>
  <si>
    <t>Business</t>
  </si>
  <si>
    <t>2023-01-02</t>
  </si>
  <si>
    <t>Laptop</t>
  </si>
  <si>
    <t>East</t>
  </si>
  <si>
    <t>Individual</t>
  </si>
  <si>
    <t>2023-01-03</t>
  </si>
  <si>
    <t>Camera</t>
  </si>
  <si>
    <t>Gadgets</t>
  </si>
  <si>
    <t>North</t>
  </si>
  <si>
    <t>Phone</t>
  </si>
  <si>
    <t>Electronics</t>
  </si>
  <si>
    <t>2023-01-04</t>
  </si>
  <si>
    <t>Headphones</t>
  </si>
  <si>
    <t>Smartwatch</t>
  </si>
  <si>
    <t>Tablet</t>
  </si>
  <si>
    <t>South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</si>
  <si>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</si>
  <si>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</si>
  <si>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</si>
  <si>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</si>
  <si>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</si>
  <si>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</si>
  <si>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</si>
  <si>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</si>
  <si>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</si>
  <si>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</si>
  <si>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</si>
  <si>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</si>
  <si>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</si>
  <si>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</si>
  <si>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</si>
  <si>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</si>
  <si>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</si>
  <si>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</si>
  <si>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</si>
  <si>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</si>
  <si>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</si>
  <si>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</si>
  <si>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</si>
  <si>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</si>
  <si>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</si>
  <si>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</si>
  <si>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</si>
  <si>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</si>
  <si>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</si>
  <si>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</si>
  <si>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</si>
  <si>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</si>
  <si>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</si>
  <si>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</si>
  <si>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</si>
  <si>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</si>
  <si>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</si>
  <si>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</si>
  <si>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</si>
  <si>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</si>
  <si>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2023-02-16</t>
  </si>
  <si>
    <t>2023-02-17</t>
  </si>
  <si>
    <t>2023-02-18</t>
  </si>
  <si>
    <t>2023-02-19</t>
  </si>
  <si>
    <t>2023-02-20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</si>
  <si>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</si>
  <si>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</si>
  <si>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</si>
  <si>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</si>
  <si>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</si>
  <si>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</si>
  <si>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</si>
  <si>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</si>
  <si>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</si>
  <si>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</si>
  <si>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</si>
  <si>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</si>
  <si>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</si>
  <si>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</si>
  <si>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</si>
  <si>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</si>
  <si>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</si>
  <si>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</si>
  <si>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</si>
  <si>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</si>
  <si>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</si>
  <si>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</si>
  <si>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</si>
  <si>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</si>
  <si>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</si>
  <si>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</si>
  <si>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</si>
  <si>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</si>
  <si>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</si>
  <si>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</si>
  <si>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</si>
  <si>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</si>
  <si>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</si>
  <si>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</si>
  <si>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</si>
  <si>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</si>
  <si>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</si>
  <si>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</si>
  <si>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</si>
  <si>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</si>
  <si>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</si>
  <si>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</si>
  <si>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</si>
  <si>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</si>
  <si>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</si>
  <si>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</si>
  <si>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</si>
  <si>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</si>
  <si>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</si>
  <si>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</si>
  <si>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</si>
  <si>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</si>
  <si>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</si>
  <si>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</si>
  <si>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</si>
  <si>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</si>
  <si>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</si>
  <si>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</si>
  <si>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</si>
  <si>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</si>
  <si>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</si>
  <si>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</si>
  <si>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</si>
  <si>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</si>
  <si>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</si>
  <si>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</si>
  <si>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</si>
  <si>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</si>
  <si>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</si>
  <si>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</si>
  <si>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</si>
  <si>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</si>
  <si>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</si>
  <si>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</si>
  <si>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</si>
  <si>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</si>
  <si>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</si>
  <si>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</si>
  <si>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</si>
  <si>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</si>
  <si>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</si>
  <si>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</si>
  <si>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</si>
  <si>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</si>
  <si>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</si>
  <si>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</si>
  <si>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</si>
  <si>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</si>
  <si>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</si>
  <si>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</si>
  <si>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</si>
  <si>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</si>
  <si>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</si>
  <si>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</si>
  <si>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</si>
  <si>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</si>
  <si>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</si>
  <si>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</si>
  <si>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</si>
  <si>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</si>
  <si>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</si>
  <si>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</si>
  <si>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</si>
  <si>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</si>
  <si>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</si>
  <si>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</si>
  <si>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</si>
  <si>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</si>
  <si>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</si>
  <si>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</si>
  <si>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</si>
  <si>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</si>
  <si>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</si>
  <si>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</si>
  <si>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</si>
  <si>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</si>
  <si>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</si>
  <si>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</si>
  <si>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</si>
  <si>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</si>
  <si>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</si>
  <si>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</si>
  <si>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</si>
  <si>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</si>
  <si>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</si>
  <si>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</si>
  <si>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</si>
  <si>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</si>
  <si>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</si>
  <si>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</si>
  <si>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</si>
  <si>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</si>
  <si>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</si>
  <si>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</si>
  <si>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</si>
  <si>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</si>
  <si>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</si>
  <si>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</si>
  <si>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</si>
  <si>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</si>
  <si>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</si>
  <si>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</si>
  <si>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</si>
  <si>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</si>
  <si>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</si>
  <si>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</si>
  <si>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</si>
  <si>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</si>
  <si>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</si>
  <si>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</si>
  <si>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</si>
  <si>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</si>
  <si>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</si>
  <si>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</si>
  <si>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</si>
  <si>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</si>
  <si>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</si>
  <si>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</si>
  <si>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</si>
  <si>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</si>
  <si>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</si>
  <si>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</si>
  <si>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</si>
  <si>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</si>
  <si>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</si>
  <si>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</si>
  <si>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</si>
  <si>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</si>
  <si>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</si>
  <si>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</si>
  <si>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</si>
  <si>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</si>
  <si>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</si>
  <si>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</si>
  <si>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</si>
  <si>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</si>
  <si>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</si>
  <si>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</si>
  <si>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</si>
  <si>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</si>
  <si>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</si>
  <si>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</si>
  <si>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</si>
  <si>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</si>
  <si>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</si>
  <si>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</si>
  <si>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</si>
  <si>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</si>
  <si>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</si>
  <si>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</si>
  <si>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</si>
  <si>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</si>
  <si>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</si>
  <si>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2023-09-14</t>
  </si>
  <si>
    <t>2023-09-15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</si>
  <si>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</si>
  <si>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</si>
  <si>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</si>
  <si>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</si>
  <si>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</si>
  <si>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</si>
  <si>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</si>
  <si>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</si>
  <si>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</si>
  <si>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</si>
  <si>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</si>
  <si>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</si>
  <si>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</si>
  <si>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</si>
  <si>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</si>
  <si>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</si>
  <si>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</si>
  <si>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</si>
  <si>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</si>
  <si>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</si>
  <si>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</si>
  <si>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</si>
  <si>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</si>
  <si>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</si>
  <si>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</si>
  <si>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</si>
  <si>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</si>
  <si>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</si>
  <si>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</si>
  <si>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</si>
  <si>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</si>
  <si>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</si>
  <si>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</si>
  <si>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</si>
  <si>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</si>
  <si>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</si>
  <si>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</si>
  <si>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</si>
  <si>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</si>
  <si>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</si>
  <si>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</si>
  <si>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</si>
  <si>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</si>
  <si>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</si>
  <si>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2023-11-02</t>
  </si>
  <si>
    <t>2023-11-03</t>
  </si>
  <si>
    <t>2023-11-05</t>
  </si>
  <si>
    <t>2023-11-06</t>
  </si>
  <si>
    <t>2023-11-07</t>
  </si>
  <si>
    <t>2023-11-08</t>
  </si>
  <si>
    <t>2023-11-09</t>
  </si>
  <si>
    <t>2023-11-10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</si>
  <si>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</si>
  <si>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</si>
  <si>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</si>
  <si>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</si>
  <si>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</si>
  <si>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</si>
  <si>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</si>
  <si>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</si>
  <si>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</si>
  <si>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</si>
  <si>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</si>
  <si>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</si>
  <si>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</si>
  <si>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</si>
  <si>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</si>
  <si>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</si>
  <si>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</si>
  <si>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</si>
  <si>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</si>
  <si>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</si>
  <si>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</si>
  <si>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</si>
  <si>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</si>
  <si>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</si>
  <si>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</si>
  <si>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</si>
  <si>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</si>
  <si>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</si>
  <si>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</si>
  <si>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</si>
  <si>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</si>
  <si>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</si>
  <si>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2023-12-17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</si>
  <si>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</si>
  <si>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</si>
  <si>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</si>
  <si>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</si>
  <si>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</si>
  <si>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</si>
  <si>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</si>
  <si>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</si>
  <si>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</si>
  <si>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</si>
  <si>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</si>
  <si>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</si>
  <si>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</si>
  <si>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</si>
  <si>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</si>
  <si>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</si>
  <si>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</si>
  <si>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</si>
  <si>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</si>
  <si>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</si>
  <si>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</si>
  <si>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</si>
  <si>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</si>
  <si>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</si>
  <si>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</si>
  <si>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</si>
  <si>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</si>
  <si>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 Total</t>
  </si>
  <si>
    <t>2024 Total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</si>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</sst>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&quot;$&quot;#,##0.00"/>
    <numFmt numFmtId="166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166" formatCode="&quot;$&quot;#,##0"/>
    </dxf>
    <dxf>
      <numFmt numFmtId="166" formatCode="&quot;$&quot;#,##0"/>
    </dxf>
    <dxf>
      <numFmt numFmtId="164" formatCode="yyyy\-mm\-dd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$&quot;#,##0.00"/>
    </dxf>
    <dxf>
      <numFmt numFmtId="166" formatCode="&quot;$&quot;#,##0"/>
    </dxf>
    <dxf>
      <numFmt numFmtId="165" formatCode="&quot;$&quot;#,##0.00"/>
    </dxf>
    <dxf>
      <numFmt numFmtId="166" formatCode="&quot;$&quot;#,##0"/>
    </dxf>
    <dxf>
      <numFmt numFmtId="165" formatCode="&quot;$&quot;#,##0.00"/>
    </dxf>
    <dxf>
      <numFmt numFmtId="166" formatCode="&quot;$&quot;#,##0"/>
    </dxf>
    <dxf>
      <numFmt numFmtId="165" formatCode="&quot;$&quot;#,##0.00"/>
    </dxf>
    <dxf>
      <numFmt numFmtId="166" formatCode="&quot;$&quot;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[Large_Sales_Performance_Excel_Project 1.xlsx]Sales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'Sales Trend'!$A$4:$B$19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'Sales Trend'!$C$4:$C$19</c:f>
              <c:numCache>
                <c:formatCode>"$"#,##0</c:formatCode>
                <c:ptCount val="13"/>
                <c:pt idx="0">
                  <c:v>183752</c:v>
                </c:pt>
                <c:pt idx="1">
                  <c:v>195160</c:v>
                </c:pt>
                <c:pt idx="2">
                  <c:v>232304</c:v>
                </c:pt>
                <c:pt idx="3">
                  <c:v>234972</c:v>
                </c:pt>
                <c:pt idx="4">
                  <c:v>218494</c:v>
                </c:pt>
                <c:pt idx="5">
                  <c:v>185548</c:v>
                </c:pt>
                <c:pt idx="6">
                  <c:v>248883</c:v>
                </c:pt>
                <c:pt idx="7">
                  <c:v>262183</c:v>
                </c:pt>
                <c:pt idx="8">
                  <c:v>180360</c:v>
                </c:pt>
                <c:pt idx="9">
                  <c:v>230705</c:v>
                </c:pt>
                <c:pt idx="10">
                  <c:v>198071</c:v>
                </c:pt>
                <c:pt idx="11">
                  <c:v>202147</c:v>
                </c:pt>
                <c:pt idx="12">
                  <c:v>4338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CD-4310-9E40-E3B98FD5B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361800"/>
        <c:axId val="966306823"/>
      </c:lineChart>
      <c:catAx>
        <c:axId val="243361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306823"/>
        <c:crosses val="autoZero"/>
        <c:auto val="1"/>
        <c:lblAlgn val="ctr"/>
        <c:lblOffset val="100"/>
        <c:noMultiLvlLbl val="0"/>
      </c:catAx>
      <c:valAx>
        <c:axId val="966306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61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[Large_Sales_Performance_Excel_Project 1.xlsx]Customer Analysis!PivotTable9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93-4279-B086-3CE30EEF5A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93-4279-B086-3CE30EEF5A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Analysis'!$A$4:$A$6</c:f>
              <c:strCache>
                <c:ptCount val="2"/>
                <c:pt idx="0">
                  <c:v>Business</c:v>
                </c:pt>
                <c:pt idx="1">
                  <c:v>Individual</c:v>
                </c:pt>
              </c:strCache>
            </c:strRef>
          </c:cat>
          <c:val>
            <c:numRef>
              <c:f>'Customer Analysis'!$B$4:$B$6</c:f>
              <c:numCache>
                <c:formatCode>"$"#,##0</c:formatCode>
                <c:ptCount val="2"/>
                <c:pt idx="0">
                  <c:v>1299250</c:v>
                </c:pt>
                <c:pt idx="1">
                  <c:v>1277667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3-4C8D-B4F1-04AA54D70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[Large_Sales_Performance_Excel_Project 1.xlsx]Profitability!PivotTable1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Profitability!$B$3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Profitability!$A$4:$A$9</c:f>
              <c:strCache>
                <c:ptCount val="5"/>
                <c:pt idx="0">
                  <c:v>Headphones</c:v>
                </c:pt>
                <c:pt idx="1">
                  <c:v>Tablet</c:v>
                </c:pt>
                <c:pt idx="2">
                  <c:v>Phone</c:v>
                </c:pt>
                <c:pt idx="3">
                  <c:v>Laptop</c:v>
                </c:pt>
                <c:pt idx="4">
                  <c:v>Monitor</c:v>
                </c:pt>
              </c:strCache>
            </c:strRef>
          </c:cat>
          <c:val>
            <c:numRef>
              <c:f>Profitability!$B$4:$B$9</c:f>
              <c:numCache>
                <c:formatCode>"$"#,##0</c:formatCode>
                <c:ptCount val="5"/>
                <c:pt idx="0">
                  <c:v>69637</c:v>
                </c:pt>
                <c:pt idx="1">
                  <c:v>69974</c:v>
                </c:pt>
                <c:pt idx="2">
                  <c:v>75484</c:v>
                </c:pt>
                <c:pt idx="3">
                  <c:v>81864</c:v>
                </c:pt>
                <c:pt idx="4">
                  <c:v>87844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C-4EF6-B5E2-15D80B663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4042760"/>
        <c:axId val="404044808"/>
      </c:barChart>
      <c:catAx>
        <c:axId val="404042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44808"/>
        <c:crosses val="autoZero"/>
        <c:auto val="1"/>
        <c:lblAlgn val="ctr"/>
        <c:lblOffset val="100"/>
        <c:noMultiLvlLbl val="0"/>
      </c:catAx>
      <c:valAx>
        <c:axId val="404044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4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[Large_Sales_Performance_Excel_Project 1.xlsx]Regional Performance!PivotTable10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Performance'!$A$4:$A$8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Performance'!$B$4:$B$8</c:f>
              <c:numCache>
                <c:formatCode>"$"#,##0</c:formatCode>
                <c:ptCount val="4"/>
                <c:pt idx="0">
                  <c:v>700051</c:v>
                </c:pt>
                <c:pt idx="1">
                  <c:v>635435</c:v>
                </c:pt>
                <c:pt idx="2">
                  <c:v>624925</c:v>
                </c:pt>
                <c:pt idx="3">
                  <c:v>616506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2-409C-A822-9CCB6685A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889032"/>
        <c:axId val="1166500872"/>
      </c:barChart>
      <c:catAx>
        <c:axId val="6188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00872"/>
        <c:crosses val="autoZero"/>
        <c:auto val="1"/>
        <c:lblAlgn val="ctr"/>
        <c:lblOffset val="100"/>
        <c:noMultiLvlLbl val="0"/>
      </c:catAx>
      <c:valAx>
        <c:axId val="116650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8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[Large_Sales_Performance_Excel_Project 1.xlsx]Sales Trend!PivotTable2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'Sales Trend'!$A$4:$B$19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'Sales Trend'!$C$4:$C$19</c:f>
              <c:numCache>
                <c:formatCode>"$"#,##0</c:formatCode>
                <c:ptCount val="13"/>
                <c:pt idx="0">
                  <c:v>183752</c:v>
                </c:pt>
                <c:pt idx="1">
                  <c:v>195160</c:v>
                </c:pt>
                <c:pt idx="2">
                  <c:v>232304</c:v>
                </c:pt>
                <c:pt idx="3">
                  <c:v>234972</c:v>
                </c:pt>
                <c:pt idx="4">
                  <c:v>218494</c:v>
                </c:pt>
                <c:pt idx="5">
                  <c:v>185548</c:v>
                </c:pt>
                <c:pt idx="6">
                  <c:v>248883</c:v>
                </c:pt>
                <c:pt idx="7">
                  <c:v>262183</c:v>
                </c:pt>
                <c:pt idx="8">
                  <c:v>180360</c:v>
                </c:pt>
                <c:pt idx="9">
                  <c:v>230705</c:v>
                </c:pt>
                <c:pt idx="10">
                  <c:v>198071</c:v>
                </c:pt>
                <c:pt idx="11">
                  <c:v>202147</c:v>
                </c:pt>
                <c:pt idx="12">
                  <c:v>4338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D-42C2-8C9E-4D73BA35B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361800"/>
        <c:axId val="966306823"/>
      </c:lineChart>
      <c:catAx>
        <c:axId val="243361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306823"/>
        <c:crosses val="autoZero"/>
        <c:auto val="1"/>
        <c:lblAlgn val="ctr"/>
        <c:lblOffset val="100"/>
        <c:noMultiLvlLbl val="0"/>
      </c:catAx>
      <c:valAx>
        <c:axId val="966306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61800"/>
        <c:crosses val="autoZero"/>
        <c:crossBetween val="between"/>
      </c:valAx>
      <c:dTable>
        <c:showHorzBorder val="1"/>
        <c:showVertBorder val="1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[Large_Sales_Performance_Excel_Project 1.xlsx]Customer Analysis!PivotTable9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38-4B5D-8261-04D55D9E08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38-4B5D-8261-04D55D9E08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Analysis'!$A$4:$A$6</c:f>
              <c:strCache>
                <c:ptCount val="2"/>
                <c:pt idx="0">
                  <c:v>Business</c:v>
                </c:pt>
                <c:pt idx="1">
                  <c:v>Individual</c:v>
                </c:pt>
              </c:strCache>
            </c:strRef>
          </c:cat>
          <c:val>
            <c:numRef>
              <c:f>'Customer Analysis'!$B$4:$B$6</c:f>
              <c:numCache>
                <c:formatCode>"$"#,##0</c:formatCode>
                <c:ptCount val="2"/>
                <c:pt idx="0">
                  <c:v>1299250</c:v>
                </c:pt>
                <c:pt idx="1">
                  <c:v>1277667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38-4B5D-8261-04D55D9E0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[Large_Sales_Performance_Excel_Project 1.xlsx]Regional Performance!PivotTable10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</a:t>
            </a:r>
          </a:p>
        </c:rich>
      </c:tx>
      <c:layout>
        <c:manualLayout>
          <c:xMode val="edge"/>
          <c:yMode val="edge"/>
          <c:x val="0.36106038574446486"/>
          <c:y val="3.290366481967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Performance'!$A$4:$A$8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Performance'!$B$4:$B$8</c:f>
              <c:numCache>
                <c:formatCode>"$"#,##0</c:formatCode>
                <c:ptCount val="4"/>
                <c:pt idx="0">
                  <c:v>700051</c:v>
                </c:pt>
                <c:pt idx="1">
                  <c:v>635435</c:v>
                </c:pt>
                <c:pt idx="2">
                  <c:v>624925</c:v>
                </c:pt>
                <c:pt idx="3">
                  <c:v>616506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4-4285-A9A9-E0A69DED6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889032"/>
        <c:axId val="1166500872"/>
      </c:barChart>
      <c:catAx>
        <c:axId val="6188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00872"/>
        <c:crosses val="autoZero"/>
        <c:auto val="1"/>
        <c:lblAlgn val="ctr"/>
        <c:lblOffset val="100"/>
        <c:noMultiLvlLbl val="0"/>
      </c:catAx>
      <c:valAx>
        <c:axId val="116650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8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[Large_Sales_Performance_Excel_Project 1.xlsx]Profitability!PivotTable1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Profit</a:t>
            </a:r>
          </a:p>
        </c:rich>
      </c:tx>
      <c:layout>
        <c:manualLayout>
          <c:xMode val="edge"/>
          <c:yMode val="edge"/>
          <c:x val="0.39572251895086541"/>
          <c:y val="4.111433683521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Profitability!$B$3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Profitability!$A$4:$A$9</c:f>
              <c:strCache>
                <c:ptCount val="5"/>
                <c:pt idx="0">
                  <c:v>Headphones</c:v>
                </c:pt>
                <c:pt idx="1">
                  <c:v>Tablet</c:v>
                </c:pt>
                <c:pt idx="2">
                  <c:v>Phone</c:v>
                </c:pt>
                <c:pt idx="3">
                  <c:v>Laptop</c:v>
                </c:pt>
                <c:pt idx="4">
                  <c:v>Monitor</c:v>
                </c:pt>
              </c:strCache>
            </c:strRef>
          </c:cat>
          <c:val>
            <c:numRef>
              <c:f>Profitability!$B$4:$B$9</c:f>
              <c:numCache>
                <c:formatCode>"$"#,##0</c:formatCode>
                <c:ptCount val="5"/>
                <c:pt idx="0">
                  <c:v>69637</c:v>
                </c:pt>
                <c:pt idx="1">
                  <c:v>69974</c:v>
                </c:pt>
                <c:pt idx="2">
                  <c:v>75484</c:v>
                </c:pt>
                <c:pt idx="3">
                  <c:v>81864</c:v>
                </c:pt>
                <c:pt idx="4">
                  <c:v>87844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1-48FC-956F-AD44EF353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4042760"/>
        <c:axId val="404044808"/>
      </c:barChart>
      <c:catAx>
        <c:axId val="404042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44808"/>
        <c:crosses val="autoZero"/>
        <c:auto val="1"/>
        <c:lblAlgn val="ctr"/>
        <c:lblOffset val="100"/>
        <c:noMultiLvlLbl val="0"/>
      </c:catAx>
      <c:valAx>
        <c:axId val="404044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42760"/>
        <c:crosses val="autoZero"/>
        <c:crossBetween val="between"/>
        <c:majorUnit val="50000"/>
        <c:minorUnit val="25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0</xdr:rowOff>
    </xdr:from>
    <xdr:to>
      <xdr:col>10</xdr:col>
      <xdr:colOff>581025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B3A80-7EA9-E921-9997-67BA044D7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2</xdr:row>
      <xdr:rowOff>9525</xdr:rowOff>
    </xdr:from>
    <xdr:to>
      <xdr:col>9</xdr:col>
      <xdr:colOff>590550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E60FE-98BC-9896-AB28-19FBD3306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</xdr:row>
      <xdr:rowOff>180975</xdr:rowOff>
    </xdr:from>
    <xdr:to>
      <xdr:col>10</xdr:col>
      <xdr:colOff>581025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E41584-D9CA-1E47-25EC-F241BA029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180975</xdr:rowOff>
    </xdr:from>
    <xdr:to>
      <xdr:col>10</xdr:col>
      <xdr:colOff>523875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0B2864-FC2E-B8C1-238F-ADD3C1A36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9</xdr:col>
      <xdr:colOff>0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9434B-981C-47DC-93D9-DFCBDE1BF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3</xdr:row>
      <xdr:rowOff>0</xdr:rowOff>
    </xdr:from>
    <xdr:to>
      <xdr:col>17</xdr:col>
      <xdr:colOff>590550</xdr:colOff>
      <xdr:row>21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F3C789-E730-4826-84E4-1808099810D9}"/>
            </a:ext>
            <a:ext uri="{147F2762-F138-4A5C-976F-8EAC2B608ADB}">
              <a16:predDERef xmlns:a16="http://schemas.microsoft.com/office/drawing/2014/main" pred="{B379434B-981C-47DC-93D9-DFCBDE1BF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590550</xdr:colOff>
      <xdr:row>40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460871-7CD5-4532-8110-4A55D768513F}"/>
            </a:ext>
            <a:ext uri="{147F2762-F138-4A5C-976F-8EAC2B608ADB}">
              <a16:predDERef xmlns:a16="http://schemas.microsoft.com/office/drawing/2014/main" pred="{2EF3C789-E730-4826-84E4-180809981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17</xdr:col>
      <xdr:colOff>590550</xdr:colOff>
      <xdr:row>2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27F883B-6FF5-A78D-6197-825192689AE6}"/>
            </a:ext>
            <a:ext uri="{147F2762-F138-4A5C-976F-8EAC2B608ADB}">
              <a16:predDERef xmlns:a16="http://schemas.microsoft.com/office/drawing/2014/main" pred="{C6460871-7CD5-4532-8110-4A55D768513F}"/>
            </a:ext>
          </a:extLst>
        </xdr:cNvPr>
        <xdr:cNvSpPr/>
      </xdr:nvSpPr>
      <xdr:spPr>
        <a:xfrm>
          <a:off x="0" y="0"/>
          <a:ext cx="10953750" cy="5524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3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Performance Analysis in Excel</a:t>
          </a:r>
        </a:p>
      </xdr:txBody>
    </xdr:sp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581025</xdr:colOff>
      <xdr:row>40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4C226B-9E50-49E1-A03C-EB2166F3E942}"/>
            </a:ext>
            <a:ext uri="{147F2762-F138-4A5C-976F-8EAC2B608ADB}">
              <a16:predDERef xmlns:a16="http://schemas.microsoft.com/office/drawing/2014/main" pred="{327F883B-6FF5-A78D-6197-825192689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28575</xdr:rowOff>
    </xdr:from>
    <xdr:to>
      <xdr:col>14</xdr:col>
      <xdr:colOff>447675</xdr:colOff>
      <xdr:row>37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16CB60-66C3-1172-58C9-AB7B177BE486}"/>
            </a:ext>
          </a:extLst>
        </xdr:cNvPr>
        <xdr:cNvSpPr txBox="1"/>
      </xdr:nvSpPr>
      <xdr:spPr>
        <a:xfrm>
          <a:off x="9525" y="28575"/>
          <a:ext cx="8972550" cy="706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Project Overview: Sales Performance Analysis</a:t>
          </a:r>
          <a:endParaRPr lang="en-US" sz="1600" b="0" i="1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600" b="0" i="1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0" i="1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Goal of the Analysis:</a:t>
          </a:r>
          <a:endParaRPr lang="en-US" sz="16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project analyzes sales performance using Excel, focusing on trends, regional distribution and customer segmentation to uncover key insights about the business performance for better business decisions.</a:t>
          </a:r>
          <a:endParaRPr lang="en-US" sz="1600" b="0" i="1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600" b="0" i="1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0" i="1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Key Findings:</a:t>
          </a:r>
          <a:endParaRPr lang="en-US" sz="16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📈Line Chart: The sales trend analysis shows seasonal trends, identifying peak periods </a:t>
          </a:r>
          <a:r>
            <a:rPr lang="en-US" sz="1600" b="0" i="0" u="sng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(July- $248K  &amp; August- $262K)</a:t>
          </a:r>
          <a:endParaRPr lang="en-US" sz="16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6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🛒 Pie Chart: Visualizes the customer type breakdown, revenue from business vs. individual customers.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6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🌍 Regional Sales Distribution: The bar chart highlights top-performing regions and areas with low sales.</a:t>
          </a:r>
        </a:p>
        <a:p>
          <a:pPr marL="0" indent="0" algn="l"/>
          <a:endParaRPr lang="en-US" sz="16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🏆 Top-Selling Products: The column chart ranks products by profit, revealing the top 5 most profitable items.</a:t>
          </a:r>
          <a:endParaRPr lang="en-US" sz="1600" b="0" i="1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600" b="0" i="1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600" b="0" i="1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0" i="1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Business Impact:</a:t>
          </a:r>
          <a:endParaRPr lang="en-US" sz="16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Helps businesses identify high-revenue regions and focus marketing efforts effectively.</a:t>
          </a: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Reveals top-performing products, aiding in inventory and pricing strategies.</a:t>
          </a: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Provides a data-driven approach for better financial planning.</a:t>
          </a:r>
          <a:endParaRPr lang="en-US" sz="1600" b="0" i="1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600" b="0" i="1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0" i="1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Tools Used:</a:t>
          </a:r>
          <a:endParaRPr lang="en-US" sz="16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Microsoft Excel (Conditional Formatting, Pivot Tables, Charts)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48.014610532409" createdVersion="8" refreshedVersion="8" minRefreshableVersion="3" recordCount="1000" xr:uid="{745315FA-D311-42E0-8DB4-12A005B944B2}">
  <cacheSource type="worksheet">
    <worksheetSource name="Table1"/>
  </cacheSource>
  <cacheFields count="11">
    <cacheField name="Order ID" numFmtId="0">
      <sharedItems containsSemiMixedTypes="0" containsString="0" containsNumber="1" containsInteger="1" minValue="1001" maxValue="2000"/>
    </cacheField>
    <cacheField name="Order Date" numFmtId="164">
      <sharedItems/>
    </cacheField>
    <cacheField name="Product" numFmtId="0">
      <sharedItems count="7">
        <s v="Monitor"/>
        <s v="Laptop"/>
        <s v="Camera"/>
        <s v="Phone"/>
        <s v="Headphones"/>
        <s v="Smartwatch"/>
        <s v="Tablet"/>
      </sharedItems>
    </cacheField>
    <cacheField name="Category" numFmtId="0">
      <sharedItems count="3">
        <s v="Accessories"/>
        <s v="Gadgets"/>
        <s v="Electronics"/>
      </sharedItems>
    </cacheField>
    <cacheField name="Sales" numFmtId="166">
      <sharedItems containsSemiMixedTypes="0" containsString="0" containsNumber="1" containsInteger="1" minValue="103" maxValue="4997"/>
    </cacheField>
    <cacheField name="Profit" numFmtId="166">
      <sharedItems containsSemiMixedTypes="0" containsString="0" containsNumber="1" containsInteger="1" minValue="20" maxValue="1000"/>
    </cacheField>
    <cacheField name="Region" numFmtId="0">
      <sharedItems count="4">
        <s v="West"/>
        <s v="East"/>
        <s v="North"/>
        <s v="South"/>
      </sharedItems>
    </cacheField>
    <cacheField name="Customer Type" numFmtId="0">
      <sharedItems count="2">
        <s v="Business"/>
        <s v="Individual"/>
      </sharedItems>
    </cacheField>
    <cacheField name="Profit Margin" numFmtId="0">
      <sharedItems containsSemiMixedTypes="0" containsString="0" containsNumber="1" minValue="4.5503791982665224E-3" maxValue="9.1651376146788994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Month" numFmtId="0">
      <sharedItems containsMixedTypes="1" containsNumber="1" containsInteger="1" minValue="1" maxValue="12" count="24">
        <s v="Jan"/>
        <s v="Feb"/>
        <s v="Mar"/>
        <s v="Apr"/>
        <s v="May"/>
        <s v="Jun"/>
        <s v="Jul"/>
        <s v="Aug"/>
        <s v="Sep"/>
        <s v="Oct"/>
        <s v="Nov"/>
        <s v="Dec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</sharedItems>
    </cacheField>
  </cacheFields>
  <extLst>
    <ext xmlns:x14="http://schemas.microsoft.com/office/spreadsheetml/2009/9/main" uri="{725AE2AE-9491-48be-B2B4-4EB974FC3084}">
      <x14:pivotCacheDefinition pivotCacheId="18147829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843"/>
    <s v="2023-01-01"/>
    <x v="0"/>
    <x v="0"/>
    <n v="2234"/>
    <n v="612"/>
    <x v="0"/>
    <x v="0"/>
    <n v="0.27394807520143238"/>
    <x v="0"/>
    <x v="0"/>
  </r>
  <r>
    <n v="1476"/>
    <s v="2023-01-02"/>
    <x v="1"/>
    <x v="0"/>
    <n v="1882"/>
    <n v="648"/>
    <x v="1"/>
    <x v="1"/>
    <n v="0.34431455897980873"/>
    <x v="0"/>
    <x v="0"/>
  </r>
  <r>
    <n v="1331"/>
    <s v="2023-01-03"/>
    <x v="2"/>
    <x v="1"/>
    <n v="958"/>
    <n v="925"/>
    <x v="2"/>
    <x v="1"/>
    <n v="0.96555323590814202"/>
    <x v="0"/>
    <x v="0"/>
  </r>
  <r>
    <n v="1548"/>
    <s v="2023-01-03"/>
    <x v="2"/>
    <x v="1"/>
    <n v="1728"/>
    <n v="121"/>
    <x v="2"/>
    <x v="0"/>
    <n v="7.0023148148148154E-2"/>
    <x v="0"/>
    <x v="0"/>
  </r>
  <r>
    <n v="1673"/>
    <s v="2023-01-03"/>
    <x v="3"/>
    <x v="1"/>
    <n v="4111"/>
    <n v="308"/>
    <x v="2"/>
    <x v="1"/>
    <n v="7.4920943809292137E-2"/>
    <x v="0"/>
    <x v="0"/>
  </r>
  <r>
    <n v="1688"/>
    <s v="2023-01-03"/>
    <x v="0"/>
    <x v="2"/>
    <n v="4286"/>
    <n v="594"/>
    <x v="1"/>
    <x v="1"/>
    <n v="0.13859076061595893"/>
    <x v="0"/>
    <x v="0"/>
  </r>
  <r>
    <n v="1286"/>
    <s v="2023-01-04"/>
    <x v="4"/>
    <x v="1"/>
    <n v="1138"/>
    <n v="839"/>
    <x v="1"/>
    <x v="0"/>
    <n v="0.73725834797891032"/>
    <x v="0"/>
    <x v="0"/>
  </r>
  <r>
    <n v="1671"/>
    <s v="2023-01-04"/>
    <x v="5"/>
    <x v="1"/>
    <n v="711"/>
    <n v="546"/>
    <x v="0"/>
    <x v="0"/>
    <n v="0.76793248945147674"/>
    <x v="0"/>
    <x v="0"/>
  </r>
  <r>
    <n v="1687"/>
    <s v="2023-01-04"/>
    <x v="6"/>
    <x v="1"/>
    <n v="3360"/>
    <n v="867"/>
    <x v="1"/>
    <x v="1"/>
    <n v="0.25803571428571431"/>
    <x v="0"/>
    <x v="0"/>
  </r>
  <r>
    <n v="1742"/>
    <s v="2023-01-04"/>
    <x v="1"/>
    <x v="1"/>
    <n v="112"/>
    <n v="878"/>
    <x v="0"/>
    <x v="0"/>
    <n v="7.8392857142857144"/>
    <x v="0"/>
    <x v="0"/>
  </r>
  <r>
    <n v="1985"/>
    <s v="2023-01-04"/>
    <x v="4"/>
    <x v="1"/>
    <n v="4720"/>
    <n v="539"/>
    <x v="3"/>
    <x v="1"/>
    <n v="0.11419491525423729"/>
    <x v="0"/>
    <x v="0"/>
  </r>
  <r>
    <n v="1235"/>
    <s v="2023-01-05"/>
    <x v="5"/>
    <x v="2"/>
    <n v="4746"/>
    <n v="196"/>
    <x v="3"/>
    <x v="1"/>
    <n v="4.1297935103244837E-2"/>
    <x v="0"/>
    <x v="0"/>
  </r>
  <r>
    <n v="1311"/>
    <s v="2023-01-05"/>
    <x v="0"/>
    <x v="2"/>
    <n v="3281"/>
    <n v="876"/>
    <x v="1"/>
    <x v="0"/>
    <n v="0.26699177080158487"/>
    <x v="0"/>
    <x v="0"/>
  </r>
  <r>
    <n v="1470"/>
    <s v="2023-01-05"/>
    <x v="4"/>
    <x v="0"/>
    <n v="2148"/>
    <n v="95"/>
    <x v="3"/>
    <x v="0"/>
    <n v="4.4227188081936687E-2"/>
    <x v="0"/>
    <x v="0"/>
  </r>
  <r>
    <n v="1693"/>
    <s v="2023-01-05"/>
    <x v="1"/>
    <x v="2"/>
    <n v="2054"/>
    <n v="374"/>
    <x v="3"/>
    <x v="1"/>
    <n v="0.18208373904576436"/>
    <x v="0"/>
    <x v="0"/>
  </r>
  <r>
    <n v="1635"/>
    <s v="2023-01-06"/>
    <x v="5"/>
    <x v="2"/>
    <n v="2838"/>
    <n v="727"/>
    <x v="1"/>
    <x v="1"/>
    <n v="0.25616631430584919"/>
    <x v="0"/>
    <x v="0"/>
  </r>
  <r>
    <n v="1911"/>
    <s v="2023-01-06"/>
    <x v="4"/>
    <x v="2"/>
    <n v="1244"/>
    <n v="459"/>
    <x v="3"/>
    <x v="1"/>
    <n v="0.36897106109324757"/>
    <x v="0"/>
    <x v="0"/>
  </r>
  <r>
    <n v="1057"/>
    <s v="2023-01-07"/>
    <x v="3"/>
    <x v="1"/>
    <n v="3787"/>
    <n v="674"/>
    <x v="1"/>
    <x v="1"/>
    <n v="0.17797729073144969"/>
    <x v="0"/>
    <x v="0"/>
  </r>
  <r>
    <n v="1190"/>
    <s v="2023-01-07"/>
    <x v="6"/>
    <x v="1"/>
    <n v="190"/>
    <n v="756"/>
    <x v="2"/>
    <x v="0"/>
    <n v="3.9789473684210526"/>
    <x v="0"/>
    <x v="0"/>
  </r>
  <r>
    <n v="1384"/>
    <s v="2023-01-07"/>
    <x v="0"/>
    <x v="2"/>
    <n v="1416"/>
    <n v="52"/>
    <x v="3"/>
    <x v="0"/>
    <n v="3.6723163841807911E-2"/>
    <x v="0"/>
    <x v="0"/>
  </r>
  <r>
    <n v="1421"/>
    <s v="2023-01-07"/>
    <x v="3"/>
    <x v="2"/>
    <n v="4336"/>
    <n v="880"/>
    <x v="1"/>
    <x v="1"/>
    <n v="0.2029520295202952"/>
    <x v="0"/>
    <x v="0"/>
  </r>
  <r>
    <n v="1566"/>
    <s v="2023-01-07"/>
    <x v="3"/>
    <x v="2"/>
    <n v="1385"/>
    <n v="137"/>
    <x v="3"/>
    <x v="0"/>
    <n v="9.8916967509025275E-2"/>
    <x v="0"/>
    <x v="0"/>
  </r>
  <r>
    <n v="1633"/>
    <s v="2023-01-07"/>
    <x v="0"/>
    <x v="0"/>
    <n v="1563"/>
    <n v="941"/>
    <x v="1"/>
    <x v="0"/>
    <n v="0.60204734484964806"/>
    <x v="0"/>
    <x v="0"/>
  </r>
  <r>
    <n v="1249"/>
    <s v="2023-01-08"/>
    <x v="3"/>
    <x v="1"/>
    <n v="3354"/>
    <n v="694"/>
    <x v="2"/>
    <x v="1"/>
    <n v="0.20691711389385808"/>
    <x v="0"/>
    <x v="0"/>
  </r>
  <r>
    <n v="1404"/>
    <s v="2023-01-08"/>
    <x v="3"/>
    <x v="0"/>
    <n v="4951"/>
    <n v="130"/>
    <x v="3"/>
    <x v="1"/>
    <n v="2.6257321753181174E-2"/>
    <x v="0"/>
    <x v="0"/>
  </r>
  <r>
    <n v="1632"/>
    <s v="2023-01-08"/>
    <x v="3"/>
    <x v="2"/>
    <n v="1945"/>
    <n v="44"/>
    <x v="1"/>
    <x v="0"/>
    <n v="2.2622107969151671E-2"/>
    <x v="0"/>
    <x v="0"/>
  </r>
  <r>
    <n v="1407"/>
    <s v="2023-01-09"/>
    <x v="2"/>
    <x v="1"/>
    <n v="2021"/>
    <n v="378"/>
    <x v="0"/>
    <x v="0"/>
    <n v="0.18703612073231074"/>
    <x v="0"/>
    <x v="0"/>
  </r>
  <r>
    <n v="1980"/>
    <s v="2023-01-09"/>
    <x v="4"/>
    <x v="1"/>
    <n v="2167"/>
    <n v="826"/>
    <x v="1"/>
    <x v="0"/>
    <n v="0.38117212736502076"/>
    <x v="0"/>
    <x v="0"/>
  </r>
  <r>
    <n v="1103"/>
    <s v="2023-01-10"/>
    <x v="5"/>
    <x v="1"/>
    <n v="364"/>
    <n v="943"/>
    <x v="1"/>
    <x v="0"/>
    <n v="2.5906593406593408"/>
    <x v="0"/>
    <x v="0"/>
  </r>
  <r>
    <n v="1734"/>
    <s v="2023-01-10"/>
    <x v="5"/>
    <x v="2"/>
    <n v="2774"/>
    <n v="449"/>
    <x v="1"/>
    <x v="0"/>
    <n v="0.16186012977649603"/>
    <x v="0"/>
    <x v="0"/>
  </r>
  <r>
    <n v="1052"/>
    <s v="2023-01-11"/>
    <x v="0"/>
    <x v="1"/>
    <n v="746"/>
    <n v="478"/>
    <x v="2"/>
    <x v="0"/>
    <n v="0.64075067024128685"/>
    <x v="0"/>
    <x v="0"/>
  </r>
  <r>
    <n v="1306"/>
    <s v="2023-01-11"/>
    <x v="1"/>
    <x v="0"/>
    <n v="1269"/>
    <n v="769"/>
    <x v="2"/>
    <x v="1"/>
    <n v="0.60598896769109534"/>
    <x v="0"/>
    <x v="0"/>
  </r>
  <r>
    <n v="1798"/>
    <s v="2023-01-11"/>
    <x v="5"/>
    <x v="0"/>
    <n v="3705"/>
    <n v="935"/>
    <x v="3"/>
    <x v="0"/>
    <n v="0.25236167341430499"/>
    <x v="0"/>
    <x v="0"/>
  </r>
  <r>
    <n v="1848"/>
    <s v="2023-01-11"/>
    <x v="5"/>
    <x v="2"/>
    <n v="580"/>
    <n v="710"/>
    <x v="1"/>
    <x v="0"/>
    <n v="1.2241379310344827"/>
    <x v="0"/>
    <x v="0"/>
  </r>
  <r>
    <n v="1763"/>
    <s v="2023-01-12"/>
    <x v="0"/>
    <x v="0"/>
    <n v="4628"/>
    <n v="737"/>
    <x v="3"/>
    <x v="1"/>
    <n v="0.15924805531547104"/>
    <x v="0"/>
    <x v="0"/>
  </r>
  <r>
    <n v="1372"/>
    <s v="2023-01-13"/>
    <x v="4"/>
    <x v="0"/>
    <n v="3773"/>
    <n v="983"/>
    <x v="1"/>
    <x v="0"/>
    <n v="0.26053538298436257"/>
    <x v="0"/>
    <x v="0"/>
  </r>
  <r>
    <n v="1490"/>
    <s v="2023-01-13"/>
    <x v="2"/>
    <x v="1"/>
    <n v="4152"/>
    <n v="653"/>
    <x v="1"/>
    <x v="1"/>
    <n v="0.15727360308285163"/>
    <x v="0"/>
    <x v="0"/>
  </r>
  <r>
    <n v="1574"/>
    <s v="2023-01-13"/>
    <x v="4"/>
    <x v="2"/>
    <n v="2643"/>
    <n v="348"/>
    <x v="2"/>
    <x v="1"/>
    <n v="0.13166855845629966"/>
    <x v="0"/>
    <x v="0"/>
  </r>
  <r>
    <n v="1026"/>
    <s v="2023-01-14"/>
    <x v="0"/>
    <x v="0"/>
    <n v="417"/>
    <n v="963"/>
    <x v="0"/>
    <x v="0"/>
    <n v="2.3093525179856114"/>
    <x v="0"/>
    <x v="0"/>
  </r>
  <r>
    <n v="1150"/>
    <s v="2023-01-14"/>
    <x v="6"/>
    <x v="1"/>
    <n v="2611"/>
    <n v="450"/>
    <x v="1"/>
    <x v="1"/>
    <n v="0.17234775947912678"/>
    <x v="0"/>
    <x v="0"/>
  </r>
  <r>
    <n v="1340"/>
    <s v="2023-01-14"/>
    <x v="0"/>
    <x v="0"/>
    <n v="4043"/>
    <n v="842"/>
    <x v="2"/>
    <x v="1"/>
    <n v="0.20826119218402175"/>
    <x v="0"/>
    <x v="0"/>
  </r>
  <r>
    <n v="1370"/>
    <s v="2023-01-14"/>
    <x v="6"/>
    <x v="1"/>
    <n v="3341"/>
    <n v="766"/>
    <x v="2"/>
    <x v="0"/>
    <n v="0.22927267285243938"/>
    <x v="0"/>
    <x v="0"/>
  </r>
  <r>
    <n v="1657"/>
    <s v="2023-01-14"/>
    <x v="0"/>
    <x v="1"/>
    <n v="3833"/>
    <n v="24"/>
    <x v="1"/>
    <x v="0"/>
    <n v="6.2614140360031309E-3"/>
    <x v="0"/>
    <x v="0"/>
  </r>
  <r>
    <n v="1753"/>
    <s v="2023-01-14"/>
    <x v="5"/>
    <x v="2"/>
    <n v="1011"/>
    <n v="329"/>
    <x v="3"/>
    <x v="0"/>
    <n v="0.32542037586547973"/>
    <x v="0"/>
    <x v="0"/>
  </r>
  <r>
    <n v="1230"/>
    <s v="2023-01-15"/>
    <x v="3"/>
    <x v="2"/>
    <n v="2642"/>
    <n v="475"/>
    <x v="0"/>
    <x v="0"/>
    <n v="0.17978803936411808"/>
    <x v="0"/>
    <x v="0"/>
  </r>
  <r>
    <n v="1309"/>
    <s v="2023-01-16"/>
    <x v="6"/>
    <x v="1"/>
    <n v="4405"/>
    <n v="27"/>
    <x v="2"/>
    <x v="1"/>
    <n v="6.1293984108967085E-3"/>
    <x v="0"/>
    <x v="0"/>
  </r>
  <r>
    <n v="1423"/>
    <s v="2023-01-16"/>
    <x v="6"/>
    <x v="0"/>
    <n v="1850"/>
    <n v="361"/>
    <x v="1"/>
    <x v="1"/>
    <n v="0.19513513513513514"/>
    <x v="0"/>
    <x v="0"/>
  </r>
  <r>
    <n v="1592"/>
    <s v="2023-01-16"/>
    <x v="3"/>
    <x v="2"/>
    <n v="2466"/>
    <n v="267"/>
    <x v="2"/>
    <x v="1"/>
    <n v="0.10827250608272507"/>
    <x v="0"/>
    <x v="0"/>
  </r>
  <r>
    <n v="1079"/>
    <s v="2023-01-17"/>
    <x v="0"/>
    <x v="2"/>
    <n v="252"/>
    <n v="845"/>
    <x v="1"/>
    <x v="0"/>
    <n v="3.3531746031746033"/>
    <x v="0"/>
    <x v="0"/>
  </r>
  <r>
    <n v="1535"/>
    <s v="2023-01-17"/>
    <x v="3"/>
    <x v="1"/>
    <n v="2321"/>
    <n v="825"/>
    <x v="3"/>
    <x v="0"/>
    <n v="0.35545023696682465"/>
    <x v="0"/>
    <x v="0"/>
  </r>
  <r>
    <n v="1484"/>
    <s v="2023-01-18"/>
    <x v="4"/>
    <x v="1"/>
    <n v="189"/>
    <n v="295"/>
    <x v="1"/>
    <x v="1"/>
    <n v="1.5608465608465609"/>
    <x v="0"/>
    <x v="0"/>
  </r>
  <r>
    <n v="1990"/>
    <s v="2023-01-18"/>
    <x v="3"/>
    <x v="2"/>
    <n v="1668"/>
    <n v="406"/>
    <x v="0"/>
    <x v="1"/>
    <n v="0.24340527577937651"/>
    <x v="0"/>
    <x v="0"/>
  </r>
  <r>
    <n v="1573"/>
    <s v="2023-01-19"/>
    <x v="6"/>
    <x v="2"/>
    <n v="1718"/>
    <n v="156"/>
    <x v="3"/>
    <x v="1"/>
    <n v="9.0803259604190917E-2"/>
    <x v="0"/>
    <x v="0"/>
  </r>
  <r>
    <n v="1389"/>
    <s v="2023-01-20"/>
    <x v="0"/>
    <x v="2"/>
    <n v="4141"/>
    <n v="948"/>
    <x v="1"/>
    <x v="1"/>
    <n v="0.22893021009418016"/>
    <x v="0"/>
    <x v="0"/>
  </r>
  <r>
    <n v="1936"/>
    <s v="2023-01-20"/>
    <x v="1"/>
    <x v="1"/>
    <n v="987"/>
    <n v="994"/>
    <x v="0"/>
    <x v="0"/>
    <n v="1.0070921985815602"/>
    <x v="0"/>
    <x v="0"/>
  </r>
  <r>
    <n v="1005"/>
    <s v="2023-01-21"/>
    <x v="4"/>
    <x v="1"/>
    <n v="2400"/>
    <n v="680"/>
    <x v="0"/>
    <x v="1"/>
    <n v="0.28333333333333333"/>
    <x v="0"/>
    <x v="0"/>
  </r>
  <r>
    <n v="1119"/>
    <s v="2023-01-22"/>
    <x v="3"/>
    <x v="1"/>
    <n v="3557"/>
    <n v="840"/>
    <x v="2"/>
    <x v="1"/>
    <n v="0.23615406241214507"/>
    <x v="0"/>
    <x v="0"/>
  </r>
  <r>
    <n v="1158"/>
    <s v="2023-01-22"/>
    <x v="4"/>
    <x v="0"/>
    <n v="3849"/>
    <n v="396"/>
    <x v="3"/>
    <x v="0"/>
    <n v="0.10288386593920498"/>
    <x v="0"/>
    <x v="0"/>
  </r>
  <r>
    <n v="1304"/>
    <s v="2023-01-22"/>
    <x v="1"/>
    <x v="0"/>
    <n v="1734"/>
    <n v="303"/>
    <x v="3"/>
    <x v="1"/>
    <n v="0.17474048442906576"/>
    <x v="0"/>
    <x v="0"/>
  </r>
  <r>
    <n v="1926"/>
    <s v="2023-01-22"/>
    <x v="4"/>
    <x v="2"/>
    <n v="2214"/>
    <n v="86"/>
    <x v="1"/>
    <x v="0"/>
    <n v="3.8843721770551037E-2"/>
    <x v="0"/>
    <x v="0"/>
  </r>
  <r>
    <n v="1038"/>
    <s v="2023-01-24"/>
    <x v="2"/>
    <x v="2"/>
    <n v="2520"/>
    <n v="266"/>
    <x v="3"/>
    <x v="1"/>
    <n v="0.10555555555555556"/>
    <x v="0"/>
    <x v="0"/>
  </r>
  <r>
    <n v="1823"/>
    <s v="2023-01-24"/>
    <x v="0"/>
    <x v="1"/>
    <n v="919"/>
    <n v="846"/>
    <x v="0"/>
    <x v="0"/>
    <n v="0.92056583242655055"/>
    <x v="0"/>
    <x v="0"/>
  </r>
  <r>
    <n v="1979"/>
    <s v="2023-01-24"/>
    <x v="0"/>
    <x v="1"/>
    <n v="2358"/>
    <n v="320"/>
    <x v="3"/>
    <x v="0"/>
    <n v="0.13570822731128074"/>
    <x v="0"/>
    <x v="0"/>
  </r>
  <r>
    <n v="1012"/>
    <s v="2023-01-25"/>
    <x v="1"/>
    <x v="2"/>
    <n v="3549"/>
    <n v="881"/>
    <x v="2"/>
    <x v="1"/>
    <n v="0.24823894054663284"/>
    <x v="0"/>
    <x v="0"/>
  </r>
  <r>
    <n v="1924"/>
    <s v="2023-01-26"/>
    <x v="6"/>
    <x v="2"/>
    <n v="395"/>
    <n v="716"/>
    <x v="1"/>
    <x v="1"/>
    <n v="1.8126582278481012"/>
    <x v="0"/>
    <x v="0"/>
  </r>
  <r>
    <n v="1322"/>
    <s v="2023-01-27"/>
    <x v="6"/>
    <x v="0"/>
    <n v="1505"/>
    <n v="444"/>
    <x v="0"/>
    <x v="0"/>
    <n v="0.29501661129568107"/>
    <x v="0"/>
    <x v="0"/>
  </r>
  <r>
    <n v="1369"/>
    <s v="2023-01-27"/>
    <x v="3"/>
    <x v="1"/>
    <n v="1605"/>
    <n v="249"/>
    <x v="3"/>
    <x v="0"/>
    <n v="0.15514018691588785"/>
    <x v="0"/>
    <x v="0"/>
  </r>
  <r>
    <n v="1896"/>
    <s v="2023-01-27"/>
    <x v="1"/>
    <x v="2"/>
    <n v="4704"/>
    <n v="210"/>
    <x v="3"/>
    <x v="0"/>
    <n v="4.4642857142857144E-2"/>
    <x v="0"/>
    <x v="0"/>
  </r>
  <r>
    <n v="1401"/>
    <s v="2023-01-28"/>
    <x v="5"/>
    <x v="2"/>
    <n v="707"/>
    <n v="612"/>
    <x v="3"/>
    <x v="1"/>
    <n v="0.86562942008486565"/>
    <x v="0"/>
    <x v="0"/>
  </r>
  <r>
    <n v="1439"/>
    <s v="2023-01-28"/>
    <x v="4"/>
    <x v="1"/>
    <n v="323"/>
    <n v="960"/>
    <x v="3"/>
    <x v="1"/>
    <n v="2.9721362229102168"/>
    <x v="0"/>
    <x v="0"/>
  </r>
  <r>
    <n v="1448"/>
    <s v="2023-01-28"/>
    <x v="4"/>
    <x v="2"/>
    <n v="829"/>
    <n v="965"/>
    <x v="0"/>
    <x v="1"/>
    <n v="1.1640530759951748"/>
    <x v="0"/>
    <x v="0"/>
  </r>
  <r>
    <n v="1910"/>
    <s v="2023-01-28"/>
    <x v="1"/>
    <x v="2"/>
    <n v="390"/>
    <n v="601"/>
    <x v="1"/>
    <x v="1"/>
    <n v="1.5410256410256411"/>
    <x v="0"/>
    <x v="0"/>
  </r>
  <r>
    <n v="1363"/>
    <s v="2023-01-29"/>
    <x v="3"/>
    <x v="2"/>
    <n v="2506"/>
    <n v="839"/>
    <x v="0"/>
    <x v="1"/>
    <n v="0.33479648842777332"/>
    <x v="0"/>
    <x v="0"/>
  </r>
  <r>
    <n v="1796"/>
    <s v="2023-01-29"/>
    <x v="6"/>
    <x v="0"/>
    <n v="4162"/>
    <n v="607"/>
    <x v="3"/>
    <x v="0"/>
    <n v="0.1458433445458914"/>
    <x v="0"/>
    <x v="0"/>
  </r>
  <r>
    <n v="1858"/>
    <s v="2023-01-29"/>
    <x v="1"/>
    <x v="2"/>
    <n v="1648"/>
    <n v="373"/>
    <x v="2"/>
    <x v="1"/>
    <n v="0.22633495145631069"/>
    <x v="0"/>
    <x v="0"/>
  </r>
  <r>
    <n v="1050"/>
    <s v="2023-01-30"/>
    <x v="3"/>
    <x v="0"/>
    <n v="3143"/>
    <n v="950"/>
    <x v="2"/>
    <x v="1"/>
    <n v="0.30225898822780783"/>
    <x v="0"/>
    <x v="0"/>
  </r>
  <r>
    <n v="1850"/>
    <s v="2023-01-30"/>
    <x v="3"/>
    <x v="1"/>
    <n v="824"/>
    <n v="519"/>
    <x v="1"/>
    <x v="1"/>
    <n v="0.62985436893203883"/>
    <x v="0"/>
    <x v="0"/>
  </r>
  <r>
    <n v="1506"/>
    <s v="2023-01-31"/>
    <x v="1"/>
    <x v="2"/>
    <n v="4101"/>
    <n v="778"/>
    <x v="3"/>
    <x v="0"/>
    <n v="0.18970982687149476"/>
    <x v="0"/>
    <x v="0"/>
  </r>
  <r>
    <n v="1872"/>
    <s v="2023-01-31"/>
    <x v="2"/>
    <x v="0"/>
    <n v="2615"/>
    <n v="384"/>
    <x v="2"/>
    <x v="1"/>
    <n v="0.1468451242829828"/>
    <x v="0"/>
    <x v="0"/>
  </r>
  <r>
    <n v="1071"/>
    <s v="2023-02-01"/>
    <x v="1"/>
    <x v="1"/>
    <n v="4037"/>
    <n v="850"/>
    <x v="3"/>
    <x v="1"/>
    <n v="0.21055239038890264"/>
    <x v="0"/>
    <x v="1"/>
  </r>
  <r>
    <n v="1213"/>
    <s v="2023-02-01"/>
    <x v="6"/>
    <x v="0"/>
    <n v="2353"/>
    <n v="383"/>
    <x v="2"/>
    <x v="1"/>
    <n v="0.16277093072673182"/>
    <x v="0"/>
    <x v="1"/>
  </r>
  <r>
    <n v="1231"/>
    <s v="2023-02-01"/>
    <x v="1"/>
    <x v="0"/>
    <n v="3548"/>
    <n v="323"/>
    <x v="0"/>
    <x v="0"/>
    <n v="9.1037204058624574E-2"/>
    <x v="0"/>
    <x v="1"/>
  </r>
  <r>
    <n v="1259"/>
    <s v="2023-02-01"/>
    <x v="5"/>
    <x v="2"/>
    <n v="3240"/>
    <n v="979"/>
    <x v="0"/>
    <x v="0"/>
    <n v="0.30216049382716048"/>
    <x v="0"/>
    <x v="1"/>
  </r>
  <r>
    <n v="1301"/>
    <s v="2023-02-01"/>
    <x v="3"/>
    <x v="0"/>
    <n v="1956"/>
    <n v="996"/>
    <x v="1"/>
    <x v="0"/>
    <n v="0.50920245398773001"/>
    <x v="0"/>
    <x v="1"/>
  </r>
  <r>
    <n v="1621"/>
    <s v="2023-02-01"/>
    <x v="2"/>
    <x v="1"/>
    <n v="1785"/>
    <n v="857"/>
    <x v="1"/>
    <x v="1"/>
    <n v="0.48011204481792719"/>
    <x v="0"/>
    <x v="1"/>
  </r>
  <r>
    <n v="1712"/>
    <s v="2023-02-01"/>
    <x v="5"/>
    <x v="1"/>
    <n v="4524"/>
    <n v="494"/>
    <x v="1"/>
    <x v="1"/>
    <n v="0.10919540229885058"/>
    <x v="0"/>
    <x v="1"/>
  </r>
  <r>
    <n v="1383"/>
    <s v="2023-02-02"/>
    <x v="5"/>
    <x v="0"/>
    <n v="3835"/>
    <n v="402"/>
    <x v="2"/>
    <x v="0"/>
    <n v="0.10482398956975228"/>
    <x v="0"/>
    <x v="1"/>
  </r>
  <r>
    <n v="1775"/>
    <s v="2023-02-02"/>
    <x v="6"/>
    <x v="2"/>
    <n v="4783"/>
    <n v="252"/>
    <x v="1"/>
    <x v="1"/>
    <n v="5.2686598369224333E-2"/>
    <x v="0"/>
    <x v="1"/>
  </r>
  <r>
    <n v="1063"/>
    <s v="2023-02-03"/>
    <x v="1"/>
    <x v="0"/>
    <n v="4456"/>
    <n v="158"/>
    <x v="3"/>
    <x v="0"/>
    <n v="3.5457809694793535E-2"/>
    <x v="0"/>
    <x v="1"/>
  </r>
  <r>
    <n v="1696"/>
    <s v="2023-02-03"/>
    <x v="1"/>
    <x v="2"/>
    <n v="3670"/>
    <n v="371"/>
    <x v="2"/>
    <x v="0"/>
    <n v="0.10108991825613078"/>
    <x v="0"/>
    <x v="1"/>
  </r>
  <r>
    <n v="1184"/>
    <s v="2023-02-04"/>
    <x v="5"/>
    <x v="1"/>
    <n v="1630"/>
    <n v="799"/>
    <x v="3"/>
    <x v="1"/>
    <n v="0.4901840490797546"/>
    <x v="0"/>
    <x v="1"/>
  </r>
  <r>
    <n v="1486"/>
    <s v="2023-02-05"/>
    <x v="6"/>
    <x v="0"/>
    <n v="2096"/>
    <n v="490"/>
    <x v="2"/>
    <x v="0"/>
    <n v="0.23377862595419846"/>
    <x v="0"/>
    <x v="1"/>
  </r>
  <r>
    <n v="1607"/>
    <s v="2023-02-05"/>
    <x v="0"/>
    <x v="2"/>
    <n v="2297"/>
    <n v="234"/>
    <x v="0"/>
    <x v="0"/>
    <n v="0.10187200696560732"/>
    <x v="0"/>
    <x v="1"/>
  </r>
  <r>
    <n v="1078"/>
    <s v="2023-02-06"/>
    <x v="0"/>
    <x v="1"/>
    <n v="3690"/>
    <n v="979"/>
    <x v="2"/>
    <x v="1"/>
    <n v="0.26531165311653115"/>
    <x v="0"/>
    <x v="1"/>
  </r>
  <r>
    <n v="1272"/>
    <s v="2023-02-06"/>
    <x v="6"/>
    <x v="0"/>
    <n v="3955"/>
    <n v="205"/>
    <x v="0"/>
    <x v="1"/>
    <n v="5.1833122629582805E-2"/>
    <x v="0"/>
    <x v="1"/>
  </r>
  <r>
    <n v="1542"/>
    <s v="2023-02-06"/>
    <x v="4"/>
    <x v="0"/>
    <n v="307"/>
    <n v="856"/>
    <x v="0"/>
    <x v="1"/>
    <n v="2.7882736156351791"/>
    <x v="0"/>
    <x v="1"/>
  </r>
  <r>
    <n v="1440"/>
    <s v="2023-02-07"/>
    <x v="1"/>
    <x v="2"/>
    <n v="374"/>
    <n v="876"/>
    <x v="2"/>
    <x v="0"/>
    <n v="2.3422459893048129"/>
    <x v="0"/>
    <x v="1"/>
  </r>
  <r>
    <n v="1765"/>
    <s v="2023-02-07"/>
    <x v="6"/>
    <x v="1"/>
    <n v="2162"/>
    <n v="390"/>
    <x v="0"/>
    <x v="1"/>
    <n v="0.18038852913968548"/>
    <x v="0"/>
    <x v="1"/>
  </r>
  <r>
    <n v="1381"/>
    <s v="2023-02-08"/>
    <x v="3"/>
    <x v="1"/>
    <n v="3144"/>
    <n v="215"/>
    <x v="1"/>
    <x v="1"/>
    <n v="6.8384223918575057E-2"/>
    <x v="0"/>
    <x v="1"/>
  </r>
  <r>
    <n v="1715"/>
    <s v="2023-02-08"/>
    <x v="6"/>
    <x v="1"/>
    <n v="2917"/>
    <n v="357"/>
    <x v="0"/>
    <x v="0"/>
    <n v="0.12238601302708262"/>
    <x v="0"/>
    <x v="1"/>
  </r>
  <r>
    <n v="1095"/>
    <s v="2023-02-09"/>
    <x v="6"/>
    <x v="2"/>
    <n v="281"/>
    <n v="259"/>
    <x v="1"/>
    <x v="1"/>
    <n v="0.92170818505338081"/>
    <x v="0"/>
    <x v="1"/>
  </r>
  <r>
    <n v="1485"/>
    <s v="2023-02-09"/>
    <x v="6"/>
    <x v="1"/>
    <n v="3412"/>
    <n v="400"/>
    <x v="1"/>
    <x v="1"/>
    <n v="0.11723329425556858"/>
    <x v="0"/>
    <x v="1"/>
  </r>
  <r>
    <n v="1562"/>
    <s v="2023-02-09"/>
    <x v="4"/>
    <x v="2"/>
    <n v="4163"/>
    <n v="617"/>
    <x v="3"/>
    <x v="0"/>
    <n v="0.14821042517415325"/>
    <x v="0"/>
    <x v="1"/>
  </r>
  <r>
    <n v="1604"/>
    <s v="2023-02-09"/>
    <x v="2"/>
    <x v="1"/>
    <n v="4334"/>
    <n v="184"/>
    <x v="0"/>
    <x v="0"/>
    <n v="4.2455006922011998E-2"/>
    <x v="0"/>
    <x v="1"/>
  </r>
  <r>
    <n v="1222"/>
    <s v="2023-02-10"/>
    <x v="3"/>
    <x v="0"/>
    <n v="317"/>
    <n v="909"/>
    <x v="1"/>
    <x v="0"/>
    <n v="2.8675078864353312"/>
    <x v="0"/>
    <x v="1"/>
  </r>
  <r>
    <n v="1768"/>
    <s v="2023-02-10"/>
    <x v="2"/>
    <x v="1"/>
    <n v="729"/>
    <n v="750"/>
    <x v="1"/>
    <x v="1"/>
    <n v="1.0288065843621399"/>
    <x v="0"/>
    <x v="1"/>
  </r>
  <r>
    <n v="1803"/>
    <s v="2023-02-10"/>
    <x v="0"/>
    <x v="1"/>
    <n v="3969"/>
    <n v="608"/>
    <x v="2"/>
    <x v="1"/>
    <n v="0.15318720080624842"/>
    <x v="0"/>
    <x v="1"/>
  </r>
  <r>
    <n v="1275"/>
    <s v="2023-02-11"/>
    <x v="3"/>
    <x v="0"/>
    <n v="1721"/>
    <n v="78"/>
    <x v="0"/>
    <x v="1"/>
    <n v="4.5322486926205698E-2"/>
    <x v="0"/>
    <x v="1"/>
  </r>
  <r>
    <n v="1451"/>
    <s v="2023-02-12"/>
    <x v="0"/>
    <x v="0"/>
    <n v="4717"/>
    <n v="196"/>
    <x v="2"/>
    <x v="1"/>
    <n v="4.1551833792664826E-2"/>
    <x v="0"/>
    <x v="1"/>
  </r>
  <r>
    <n v="1133"/>
    <s v="2023-02-13"/>
    <x v="2"/>
    <x v="1"/>
    <n v="4198"/>
    <n v="562"/>
    <x v="0"/>
    <x v="0"/>
    <n v="0.13387327298713672"/>
    <x v="0"/>
    <x v="1"/>
  </r>
  <r>
    <n v="1175"/>
    <s v="2023-02-13"/>
    <x v="3"/>
    <x v="2"/>
    <n v="134"/>
    <n v="631"/>
    <x v="2"/>
    <x v="0"/>
    <n v="4.7089552238805972"/>
    <x v="0"/>
    <x v="1"/>
  </r>
  <r>
    <n v="1428"/>
    <s v="2023-02-13"/>
    <x v="6"/>
    <x v="1"/>
    <n v="276"/>
    <n v="640"/>
    <x v="3"/>
    <x v="0"/>
    <n v="2.318840579710145"/>
    <x v="0"/>
    <x v="1"/>
  </r>
  <r>
    <n v="1729"/>
    <s v="2023-02-13"/>
    <x v="6"/>
    <x v="0"/>
    <n v="4373"/>
    <n v="618"/>
    <x v="1"/>
    <x v="1"/>
    <n v="0.14132174708438144"/>
    <x v="0"/>
    <x v="1"/>
  </r>
  <r>
    <n v="1009"/>
    <s v="2023-02-14"/>
    <x v="2"/>
    <x v="2"/>
    <n v="4023"/>
    <n v="250"/>
    <x v="2"/>
    <x v="0"/>
    <n v="6.214267959234402E-2"/>
    <x v="0"/>
    <x v="1"/>
  </r>
  <r>
    <n v="1464"/>
    <s v="2023-02-14"/>
    <x v="5"/>
    <x v="1"/>
    <n v="3454"/>
    <n v="166"/>
    <x v="0"/>
    <x v="1"/>
    <n v="4.8060220034742328E-2"/>
    <x v="0"/>
    <x v="1"/>
  </r>
  <r>
    <n v="1618"/>
    <s v="2023-02-14"/>
    <x v="3"/>
    <x v="1"/>
    <n v="1976"/>
    <n v="540"/>
    <x v="3"/>
    <x v="0"/>
    <n v="0.27327935222672067"/>
    <x v="0"/>
    <x v="1"/>
  </r>
  <r>
    <n v="1795"/>
    <s v="2023-02-14"/>
    <x v="2"/>
    <x v="1"/>
    <n v="4460"/>
    <n v="227"/>
    <x v="3"/>
    <x v="1"/>
    <n v="5.0896860986547082E-2"/>
    <x v="0"/>
    <x v="1"/>
  </r>
  <r>
    <n v="1624"/>
    <s v="2023-02-16"/>
    <x v="4"/>
    <x v="1"/>
    <n v="902"/>
    <n v="55"/>
    <x v="3"/>
    <x v="0"/>
    <n v="6.097560975609756E-2"/>
    <x v="0"/>
    <x v="1"/>
  </r>
  <r>
    <n v="1719"/>
    <s v="2023-02-16"/>
    <x v="2"/>
    <x v="1"/>
    <n v="3550"/>
    <n v="311"/>
    <x v="0"/>
    <x v="0"/>
    <n v="8.7605633802816898E-2"/>
    <x v="0"/>
    <x v="1"/>
  </r>
  <r>
    <n v="1738"/>
    <s v="2023-02-16"/>
    <x v="6"/>
    <x v="1"/>
    <n v="4479"/>
    <n v="226"/>
    <x v="2"/>
    <x v="0"/>
    <n v="5.0457691448984147E-2"/>
    <x v="0"/>
    <x v="1"/>
  </r>
  <r>
    <n v="1929"/>
    <s v="2023-02-16"/>
    <x v="4"/>
    <x v="2"/>
    <n v="2920"/>
    <n v="450"/>
    <x v="0"/>
    <x v="0"/>
    <n v="0.1541095890410959"/>
    <x v="0"/>
    <x v="1"/>
  </r>
  <r>
    <n v="1686"/>
    <s v="2023-02-17"/>
    <x v="4"/>
    <x v="2"/>
    <n v="896"/>
    <n v="853"/>
    <x v="1"/>
    <x v="0"/>
    <n v="0.9520089285714286"/>
    <x v="0"/>
    <x v="1"/>
  </r>
  <r>
    <n v="1691"/>
    <s v="2023-02-17"/>
    <x v="1"/>
    <x v="0"/>
    <n v="4655"/>
    <n v="345"/>
    <x v="0"/>
    <x v="1"/>
    <n v="7.4113856068743281E-2"/>
    <x v="0"/>
    <x v="1"/>
  </r>
  <r>
    <n v="1102"/>
    <s v="2023-02-18"/>
    <x v="6"/>
    <x v="2"/>
    <n v="3084"/>
    <n v="46"/>
    <x v="1"/>
    <x v="0"/>
    <n v="1.4915693904020753E-2"/>
    <x v="0"/>
    <x v="1"/>
  </r>
  <r>
    <n v="1527"/>
    <s v="2023-02-19"/>
    <x v="6"/>
    <x v="0"/>
    <n v="511"/>
    <n v="484"/>
    <x v="2"/>
    <x v="0"/>
    <n v="0.94716242661448136"/>
    <x v="0"/>
    <x v="1"/>
  </r>
  <r>
    <n v="1070"/>
    <s v="2023-02-20"/>
    <x v="4"/>
    <x v="1"/>
    <n v="2017"/>
    <n v="390"/>
    <x v="0"/>
    <x v="1"/>
    <n v="0.19335647000495787"/>
    <x v="0"/>
    <x v="1"/>
  </r>
  <r>
    <n v="1224"/>
    <s v="2023-02-20"/>
    <x v="5"/>
    <x v="0"/>
    <n v="4606"/>
    <n v="869"/>
    <x v="3"/>
    <x v="1"/>
    <n v="0.18866695614415979"/>
    <x v="0"/>
    <x v="1"/>
  </r>
  <r>
    <n v="1265"/>
    <s v="2023-02-20"/>
    <x v="4"/>
    <x v="0"/>
    <n v="4299"/>
    <n v="214"/>
    <x v="0"/>
    <x v="0"/>
    <n v="4.9779018376366599E-2"/>
    <x v="0"/>
    <x v="1"/>
  </r>
  <r>
    <n v="1812"/>
    <s v="2023-02-20"/>
    <x v="1"/>
    <x v="0"/>
    <n v="1452"/>
    <n v="473"/>
    <x v="2"/>
    <x v="0"/>
    <n v="0.32575757575757575"/>
    <x v="0"/>
    <x v="1"/>
  </r>
  <r>
    <n v="1552"/>
    <s v="2023-02-22"/>
    <x v="4"/>
    <x v="2"/>
    <n v="2828"/>
    <n v="391"/>
    <x v="1"/>
    <x v="0"/>
    <n v="0.13826025459688826"/>
    <x v="0"/>
    <x v="1"/>
  </r>
  <r>
    <n v="1659"/>
    <s v="2023-02-22"/>
    <x v="6"/>
    <x v="1"/>
    <n v="4251"/>
    <n v="174"/>
    <x v="3"/>
    <x v="1"/>
    <n v="4.0931545518701484E-2"/>
    <x v="0"/>
    <x v="1"/>
  </r>
  <r>
    <n v="1294"/>
    <s v="2023-02-23"/>
    <x v="2"/>
    <x v="0"/>
    <n v="135"/>
    <n v="839"/>
    <x v="0"/>
    <x v="1"/>
    <n v="6.2148148148148152"/>
    <x v="0"/>
    <x v="1"/>
  </r>
  <r>
    <n v="1452"/>
    <s v="2023-02-23"/>
    <x v="2"/>
    <x v="2"/>
    <n v="2985"/>
    <n v="669"/>
    <x v="3"/>
    <x v="0"/>
    <n v="0.22412060301507539"/>
    <x v="0"/>
    <x v="1"/>
  </r>
  <r>
    <n v="1842"/>
    <s v="2023-02-23"/>
    <x v="6"/>
    <x v="0"/>
    <n v="1831"/>
    <n v="842"/>
    <x v="2"/>
    <x v="1"/>
    <n v="0.4598580010922993"/>
    <x v="0"/>
    <x v="1"/>
  </r>
  <r>
    <n v="1029"/>
    <s v="2023-02-24"/>
    <x v="0"/>
    <x v="0"/>
    <n v="297"/>
    <n v="760"/>
    <x v="2"/>
    <x v="1"/>
    <n v="2.5589225589225588"/>
    <x v="0"/>
    <x v="1"/>
  </r>
  <r>
    <n v="1202"/>
    <s v="2023-02-24"/>
    <x v="5"/>
    <x v="1"/>
    <n v="2954"/>
    <n v="879"/>
    <x v="2"/>
    <x v="0"/>
    <n v="0.2975626269465132"/>
    <x v="0"/>
    <x v="1"/>
  </r>
  <r>
    <n v="1412"/>
    <s v="2023-02-24"/>
    <x v="4"/>
    <x v="1"/>
    <n v="2204"/>
    <n v="275"/>
    <x v="1"/>
    <x v="0"/>
    <n v="0.12477313974591651"/>
    <x v="0"/>
    <x v="1"/>
  </r>
  <r>
    <n v="1521"/>
    <s v="2023-02-24"/>
    <x v="0"/>
    <x v="1"/>
    <n v="591"/>
    <n v="750"/>
    <x v="0"/>
    <x v="1"/>
    <n v="1.2690355329949239"/>
    <x v="0"/>
    <x v="1"/>
  </r>
  <r>
    <n v="1367"/>
    <s v="2023-02-25"/>
    <x v="1"/>
    <x v="1"/>
    <n v="4557"/>
    <n v="458"/>
    <x v="0"/>
    <x v="0"/>
    <n v="0.10050471801623875"/>
    <x v="0"/>
    <x v="1"/>
  </r>
  <r>
    <n v="1606"/>
    <s v="2023-02-25"/>
    <x v="6"/>
    <x v="1"/>
    <n v="3502"/>
    <n v="915"/>
    <x v="1"/>
    <x v="1"/>
    <n v="0.26127926898914905"/>
    <x v="0"/>
    <x v="1"/>
  </r>
  <r>
    <n v="1903"/>
    <s v="2023-02-25"/>
    <x v="5"/>
    <x v="2"/>
    <n v="3843"/>
    <n v="774"/>
    <x v="1"/>
    <x v="0"/>
    <n v="0.20140515222482436"/>
    <x v="0"/>
    <x v="1"/>
  </r>
  <r>
    <n v="2000"/>
    <s v="2023-02-25"/>
    <x v="6"/>
    <x v="0"/>
    <n v="1471"/>
    <n v="873"/>
    <x v="2"/>
    <x v="1"/>
    <n v="0.59347382732834808"/>
    <x v="0"/>
    <x v="1"/>
  </r>
  <r>
    <n v="1433"/>
    <s v="2023-02-26"/>
    <x v="3"/>
    <x v="1"/>
    <n v="1144"/>
    <n v="894"/>
    <x v="1"/>
    <x v="1"/>
    <n v="0.78146853146853146"/>
    <x v="0"/>
    <x v="1"/>
  </r>
  <r>
    <n v="1171"/>
    <s v="2023-02-27"/>
    <x v="0"/>
    <x v="2"/>
    <n v="1816"/>
    <n v="366"/>
    <x v="0"/>
    <x v="1"/>
    <n v="0.20154185022026433"/>
    <x v="0"/>
    <x v="1"/>
  </r>
  <r>
    <n v="1207"/>
    <s v="2023-02-27"/>
    <x v="0"/>
    <x v="1"/>
    <n v="1881"/>
    <n v="588"/>
    <x v="1"/>
    <x v="0"/>
    <n v="0.31259968102073366"/>
    <x v="0"/>
    <x v="1"/>
  </r>
  <r>
    <n v="1446"/>
    <s v="2023-02-27"/>
    <x v="3"/>
    <x v="0"/>
    <n v="1917"/>
    <n v="670"/>
    <x v="3"/>
    <x v="1"/>
    <n v="0.34950443401147624"/>
    <x v="0"/>
    <x v="1"/>
  </r>
  <r>
    <n v="1528"/>
    <s v="2023-02-27"/>
    <x v="0"/>
    <x v="2"/>
    <n v="3767"/>
    <n v="64"/>
    <x v="1"/>
    <x v="0"/>
    <n v="1.6989646933899656E-2"/>
    <x v="0"/>
    <x v="1"/>
  </r>
  <r>
    <n v="1755"/>
    <s v="2023-02-27"/>
    <x v="4"/>
    <x v="0"/>
    <n v="3368"/>
    <n v="461"/>
    <x v="0"/>
    <x v="1"/>
    <n v="0.13687648456057008"/>
    <x v="0"/>
    <x v="1"/>
  </r>
  <r>
    <n v="1111"/>
    <s v="2023-02-28"/>
    <x v="4"/>
    <x v="0"/>
    <n v="3798"/>
    <n v="849"/>
    <x v="1"/>
    <x v="1"/>
    <n v="0.2235387045813586"/>
    <x v="0"/>
    <x v="1"/>
  </r>
  <r>
    <n v="1216"/>
    <s v="2023-02-28"/>
    <x v="4"/>
    <x v="2"/>
    <n v="4739"/>
    <n v="677"/>
    <x v="0"/>
    <x v="1"/>
    <n v="0.14285714285714285"/>
    <x v="0"/>
    <x v="1"/>
  </r>
  <r>
    <n v="1723"/>
    <s v="2023-02-28"/>
    <x v="5"/>
    <x v="1"/>
    <n v="614"/>
    <n v="215"/>
    <x v="1"/>
    <x v="0"/>
    <n v="0.35016286644951139"/>
    <x v="0"/>
    <x v="1"/>
  </r>
  <r>
    <n v="1140"/>
    <s v="2023-03-01"/>
    <x v="1"/>
    <x v="2"/>
    <n v="3025"/>
    <n v="346"/>
    <x v="3"/>
    <x v="0"/>
    <n v="0.11438016528925619"/>
    <x v="0"/>
    <x v="2"/>
  </r>
  <r>
    <n v="1989"/>
    <s v="2023-03-01"/>
    <x v="1"/>
    <x v="0"/>
    <n v="3058"/>
    <n v="385"/>
    <x v="3"/>
    <x v="0"/>
    <n v="0.12589928057553956"/>
    <x v="0"/>
    <x v="2"/>
  </r>
  <r>
    <n v="1278"/>
    <s v="2023-03-02"/>
    <x v="3"/>
    <x v="0"/>
    <n v="4445"/>
    <n v="584"/>
    <x v="3"/>
    <x v="0"/>
    <n v="0.13138357705286838"/>
    <x v="0"/>
    <x v="2"/>
  </r>
  <r>
    <n v="1297"/>
    <s v="2023-03-03"/>
    <x v="6"/>
    <x v="1"/>
    <n v="1738"/>
    <n v="459"/>
    <x v="3"/>
    <x v="0"/>
    <n v="0.26409666283084005"/>
    <x v="0"/>
    <x v="2"/>
  </r>
  <r>
    <n v="1784"/>
    <s v="2023-03-03"/>
    <x v="2"/>
    <x v="0"/>
    <n v="4308"/>
    <n v="391"/>
    <x v="0"/>
    <x v="0"/>
    <n v="9.076137418755803E-2"/>
    <x v="0"/>
    <x v="2"/>
  </r>
  <r>
    <n v="1891"/>
    <s v="2023-03-03"/>
    <x v="6"/>
    <x v="2"/>
    <n v="4679"/>
    <n v="328"/>
    <x v="3"/>
    <x v="0"/>
    <n v="7.0100448813849109E-2"/>
    <x v="0"/>
    <x v="2"/>
  </r>
  <r>
    <n v="1508"/>
    <s v="2023-03-04"/>
    <x v="5"/>
    <x v="2"/>
    <n v="4251"/>
    <n v="245"/>
    <x v="2"/>
    <x v="0"/>
    <n v="5.7633498000470476E-2"/>
    <x v="0"/>
    <x v="2"/>
  </r>
  <r>
    <n v="1851"/>
    <s v="2023-03-04"/>
    <x v="5"/>
    <x v="1"/>
    <n v="1001"/>
    <n v="543"/>
    <x v="3"/>
    <x v="1"/>
    <n v="0.54245754245754241"/>
    <x v="0"/>
    <x v="2"/>
  </r>
  <r>
    <n v="1355"/>
    <s v="2023-03-05"/>
    <x v="3"/>
    <x v="0"/>
    <n v="3100"/>
    <n v="407"/>
    <x v="0"/>
    <x v="0"/>
    <n v="0.13129032258064516"/>
    <x v="0"/>
    <x v="2"/>
  </r>
  <r>
    <n v="1427"/>
    <s v="2023-03-05"/>
    <x v="6"/>
    <x v="0"/>
    <n v="998"/>
    <n v="722"/>
    <x v="2"/>
    <x v="0"/>
    <n v="0.7234468937875751"/>
    <x v="0"/>
    <x v="2"/>
  </r>
  <r>
    <n v="1546"/>
    <s v="2023-03-05"/>
    <x v="1"/>
    <x v="2"/>
    <n v="1743"/>
    <n v="957"/>
    <x v="0"/>
    <x v="1"/>
    <n v="0.54905335628227192"/>
    <x v="0"/>
    <x v="2"/>
  </r>
  <r>
    <n v="1431"/>
    <s v="2023-03-06"/>
    <x v="6"/>
    <x v="0"/>
    <n v="777"/>
    <n v="299"/>
    <x v="0"/>
    <x v="1"/>
    <n v="0.38481338481338484"/>
    <x v="0"/>
    <x v="2"/>
  </r>
  <r>
    <n v="1502"/>
    <s v="2023-03-06"/>
    <x v="0"/>
    <x v="2"/>
    <n v="2238"/>
    <n v="332"/>
    <x v="0"/>
    <x v="0"/>
    <n v="0.1483467381590706"/>
    <x v="0"/>
    <x v="2"/>
  </r>
  <r>
    <n v="1522"/>
    <s v="2023-03-06"/>
    <x v="6"/>
    <x v="2"/>
    <n v="3751"/>
    <n v="393"/>
    <x v="3"/>
    <x v="0"/>
    <n v="0.10477206078379099"/>
    <x v="0"/>
    <x v="2"/>
  </r>
  <r>
    <n v="1590"/>
    <s v="2023-03-06"/>
    <x v="3"/>
    <x v="2"/>
    <n v="298"/>
    <n v="54"/>
    <x v="2"/>
    <x v="0"/>
    <n v="0.18120805369127516"/>
    <x v="0"/>
    <x v="2"/>
  </r>
  <r>
    <n v="1598"/>
    <s v="2023-03-06"/>
    <x v="6"/>
    <x v="0"/>
    <n v="4163"/>
    <n v="911"/>
    <x v="0"/>
    <x v="0"/>
    <n v="0.21883257266394426"/>
    <x v="0"/>
    <x v="2"/>
  </r>
  <r>
    <n v="1672"/>
    <s v="2023-03-06"/>
    <x v="6"/>
    <x v="2"/>
    <n v="3230"/>
    <n v="794"/>
    <x v="1"/>
    <x v="0"/>
    <n v="0.24582043343653251"/>
    <x v="0"/>
    <x v="2"/>
  </r>
  <r>
    <n v="1780"/>
    <s v="2023-03-06"/>
    <x v="3"/>
    <x v="2"/>
    <n v="1023"/>
    <n v="498"/>
    <x v="3"/>
    <x v="1"/>
    <n v="0.48680351906158359"/>
    <x v="0"/>
    <x v="2"/>
  </r>
  <r>
    <n v="1170"/>
    <s v="2023-03-07"/>
    <x v="5"/>
    <x v="0"/>
    <n v="4851"/>
    <n v="968"/>
    <x v="3"/>
    <x v="0"/>
    <n v="0.19954648526077098"/>
    <x v="0"/>
    <x v="2"/>
  </r>
  <r>
    <n v="1191"/>
    <s v="2023-03-07"/>
    <x v="2"/>
    <x v="1"/>
    <n v="530"/>
    <n v="434"/>
    <x v="0"/>
    <x v="1"/>
    <n v="0.81886792452830193"/>
    <x v="0"/>
    <x v="2"/>
  </r>
  <r>
    <n v="1706"/>
    <s v="2023-03-08"/>
    <x v="2"/>
    <x v="2"/>
    <n v="3413"/>
    <n v="200"/>
    <x v="2"/>
    <x v="1"/>
    <n v="5.8599472604746558E-2"/>
    <x v="0"/>
    <x v="2"/>
  </r>
  <r>
    <n v="1261"/>
    <s v="2023-03-09"/>
    <x v="3"/>
    <x v="1"/>
    <n v="4220"/>
    <n v="928"/>
    <x v="1"/>
    <x v="1"/>
    <n v="0.21990521327014217"/>
    <x v="0"/>
    <x v="2"/>
  </r>
  <r>
    <n v="1489"/>
    <s v="2023-03-09"/>
    <x v="4"/>
    <x v="0"/>
    <n v="4611"/>
    <n v="536"/>
    <x v="3"/>
    <x v="0"/>
    <n v="0.11624376490999783"/>
    <x v="0"/>
    <x v="2"/>
  </r>
  <r>
    <n v="1855"/>
    <s v="2023-03-09"/>
    <x v="6"/>
    <x v="1"/>
    <n v="882"/>
    <n v="712"/>
    <x v="2"/>
    <x v="1"/>
    <n v="0.80725623582766437"/>
    <x v="0"/>
    <x v="2"/>
  </r>
  <r>
    <n v="1667"/>
    <s v="2023-03-10"/>
    <x v="2"/>
    <x v="1"/>
    <n v="2754"/>
    <n v="73"/>
    <x v="2"/>
    <x v="1"/>
    <n v="2.6506899055918662E-2"/>
    <x v="0"/>
    <x v="2"/>
  </r>
  <r>
    <n v="1692"/>
    <s v="2023-03-10"/>
    <x v="3"/>
    <x v="2"/>
    <n v="1120"/>
    <n v="725"/>
    <x v="2"/>
    <x v="1"/>
    <n v="0.6473214285714286"/>
    <x v="0"/>
    <x v="2"/>
  </r>
  <r>
    <n v="1991"/>
    <s v="2023-03-10"/>
    <x v="6"/>
    <x v="0"/>
    <n v="1377"/>
    <n v="175"/>
    <x v="0"/>
    <x v="1"/>
    <n v="0.12708787218591139"/>
    <x v="0"/>
    <x v="2"/>
  </r>
  <r>
    <n v="1035"/>
    <s v="2023-03-11"/>
    <x v="5"/>
    <x v="0"/>
    <n v="4143"/>
    <n v="844"/>
    <x v="2"/>
    <x v="1"/>
    <n v="0.20371711320299299"/>
    <x v="0"/>
    <x v="2"/>
  </r>
  <r>
    <n v="1242"/>
    <s v="2023-03-11"/>
    <x v="0"/>
    <x v="1"/>
    <n v="2842"/>
    <n v="280"/>
    <x v="3"/>
    <x v="0"/>
    <n v="9.8522167487684734E-2"/>
    <x v="0"/>
    <x v="2"/>
  </r>
  <r>
    <n v="1388"/>
    <s v="2023-03-11"/>
    <x v="2"/>
    <x v="0"/>
    <n v="736"/>
    <n v="537"/>
    <x v="2"/>
    <x v="0"/>
    <n v="0.72961956521739135"/>
    <x v="0"/>
    <x v="2"/>
  </r>
  <r>
    <n v="1864"/>
    <s v="2023-03-11"/>
    <x v="1"/>
    <x v="1"/>
    <n v="3638"/>
    <n v="738"/>
    <x v="0"/>
    <x v="1"/>
    <n v="0.20285871357888949"/>
    <x v="0"/>
    <x v="2"/>
  </r>
  <r>
    <n v="1244"/>
    <s v="2023-03-12"/>
    <x v="6"/>
    <x v="1"/>
    <n v="2525"/>
    <n v="379"/>
    <x v="0"/>
    <x v="1"/>
    <n v="0.15009900990099009"/>
    <x v="0"/>
    <x v="2"/>
  </r>
  <r>
    <n v="1330"/>
    <s v="2023-03-12"/>
    <x v="4"/>
    <x v="1"/>
    <n v="1817"/>
    <n v="824"/>
    <x v="0"/>
    <x v="1"/>
    <n v="0.453494771601541"/>
    <x v="0"/>
    <x v="2"/>
  </r>
  <r>
    <n v="1475"/>
    <s v="2023-03-12"/>
    <x v="2"/>
    <x v="2"/>
    <n v="3287"/>
    <n v="974"/>
    <x v="2"/>
    <x v="0"/>
    <n v="0.29631883176148466"/>
    <x v="0"/>
    <x v="2"/>
  </r>
  <r>
    <n v="1482"/>
    <s v="2023-03-12"/>
    <x v="1"/>
    <x v="0"/>
    <n v="3126"/>
    <n v="896"/>
    <x v="2"/>
    <x v="0"/>
    <n v="0.28662827895073578"/>
    <x v="0"/>
    <x v="2"/>
  </r>
  <r>
    <n v="1623"/>
    <s v="2023-03-12"/>
    <x v="0"/>
    <x v="2"/>
    <n v="3614"/>
    <n v="654"/>
    <x v="1"/>
    <x v="1"/>
    <n v="0.18096292197011621"/>
    <x v="0"/>
    <x v="2"/>
  </r>
  <r>
    <n v="1689"/>
    <s v="2023-03-12"/>
    <x v="6"/>
    <x v="1"/>
    <n v="2786"/>
    <n v="952"/>
    <x v="0"/>
    <x v="1"/>
    <n v="0.34170854271356782"/>
    <x v="0"/>
    <x v="2"/>
  </r>
  <r>
    <n v="1792"/>
    <s v="2023-03-12"/>
    <x v="1"/>
    <x v="2"/>
    <n v="873"/>
    <n v="974"/>
    <x v="0"/>
    <x v="1"/>
    <n v="1.1156930126002291"/>
    <x v="0"/>
    <x v="2"/>
  </r>
  <r>
    <n v="1267"/>
    <s v="2023-03-13"/>
    <x v="1"/>
    <x v="1"/>
    <n v="4091"/>
    <n v="104"/>
    <x v="2"/>
    <x v="0"/>
    <n v="2.5421657296504523E-2"/>
    <x v="0"/>
    <x v="2"/>
  </r>
  <r>
    <n v="1655"/>
    <s v="2023-03-13"/>
    <x v="3"/>
    <x v="0"/>
    <n v="4616"/>
    <n v="309"/>
    <x v="2"/>
    <x v="0"/>
    <n v="6.6941074523396885E-2"/>
    <x v="0"/>
    <x v="2"/>
  </r>
  <r>
    <n v="1802"/>
    <s v="2023-03-13"/>
    <x v="4"/>
    <x v="2"/>
    <n v="624"/>
    <n v="326"/>
    <x v="2"/>
    <x v="1"/>
    <n v="0.52243589743589747"/>
    <x v="0"/>
    <x v="2"/>
  </r>
  <r>
    <n v="1898"/>
    <s v="2023-03-13"/>
    <x v="3"/>
    <x v="2"/>
    <n v="3113"/>
    <n v="912"/>
    <x v="0"/>
    <x v="0"/>
    <n v="0.29296498554449085"/>
    <x v="0"/>
    <x v="2"/>
  </r>
  <r>
    <n v="1132"/>
    <s v="2023-03-17"/>
    <x v="1"/>
    <x v="0"/>
    <n v="1443"/>
    <n v="687"/>
    <x v="0"/>
    <x v="0"/>
    <n v="0.47609147609147612"/>
    <x v="0"/>
    <x v="2"/>
  </r>
  <r>
    <n v="1853"/>
    <s v="2023-03-17"/>
    <x v="4"/>
    <x v="0"/>
    <n v="4615"/>
    <n v="21"/>
    <x v="0"/>
    <x v="1"/>
    <n v="4.5503791982665224E-3"/>
    <x v="0"/>
    <x v="2"/>
  </r>
  <r>
    <n v="1905"/>
    <s v="2023-03-17"/>
    <x v="0"/>
    <x v="1"/>
    <n v="181"/>
    <n v="673"/>
    <x v="1"/>
    <x v="1"/>
    <n v="3.7182320441988952"/>
    <x v="0"/>
    <x v="2"/>
  </r>
  <r>
    <n v="1335"/>
    <s v="2023-03-18"/>
    <x v="5"/>
    <x v="1"/>
    <n v="1462"/>
    <n v="454"/>
    <x v="1"/>
    <x v="1"/>
    <n v="0.31053351573187415"/>
    <x v="0"/>
    <x v="2"/>
  </r>
  <r>
    <n v="1581"/>
    <s v="2023-03-18"/>
    <x v="1"/>
    <x v="0"/>
    <n v="3161"/>
    <n v="803"/>
    <x v="1"/>
    <x v="0"/>
    <n v="0.25403353369186965"/>
    <x v="0"/>
    <x v="2"/>
  </r>
  <r>
    <n v="1620"/>
    <s v="2023-03-18"/>
    <x v="3"/>
    <x v="2"/>
    <n v="3112"/>
    <n v="193"/>
    <x v="0"/>
    <x v="1"/>
    <n v="6.2017994858611827E-2"/>
    <x v="0"/>
    <x v="2"/>
  </r>
  <r>
    <n v="1756"/>
    <s v="2023-03-18"/>
    <x v="0"/>
    <x v="1"/>
    <n v="326"/>
    <n v="314"/>
    <x v="2"/>
    <x v="0"/>
    <n v="0.96319018404907975"/>
    <x v="0"/>
    <x v="2"/>
  </r>
  <r>
    <n v="1959"/>
    <s v="2023-03-18"/>
    <x v="6"/>
    <x v="2"/>
    <n v="2168"/>
    <n v="653"/>
    <x v="2"/>
    <x v="1"/>
    <n v="0.30119926199261993"/>
    <x v="0"/>
    <x v="2"/>
  </r>
  <r>
    <n v="1976"/>
    <s v="2023-03-18"/>
    <x v="5"/>
    <x v="0"/>
    <n v="417"/>
    <n v="30"/>
    <x v="1"/>
    <x v="0"/>
    <n v="7.1942446043165464E-2"/>
    <x v="0"/>
    <x v="2"/>
  </r>
  <r>
    <n v="1419"/>
    <s v="2023-03-19"/>
    <x v="6"/>
    <x v="2"/>
    <n v="779"/>
    <n v="698"/>
    <x v="1"/>
    <x v="0"/>
    <n v="0.89602053915275992"/>
    <x v="0"/>
    <x v="2"/>
  </r>
  <r>
    <n v="1829"/>
    <s v="2023-03-19"/>
    <x v="5"/>
    <x v="1"/>
    <n v="430"/>
    <n v="537"/>
    <x v="2"/>
    <x v="0"/>
    <n v="1.2488372093023257"/>
    <x v="0"/>
    <x v="2"/>
  </r>
  <r>
    <n v="1920"/>
    <s v="2023-03-19"/>
    <x v="4"/>
    <x v="0"/>
    <n v="4159"/>
    <n v="357"/>
    <x v="3"/>
    <x v="0"/>
    <n v="8.5837941812935803E-2"/>
    <x v="0"/>
    <x v="2"/>
  </r>
  <r>
    <n v="1085"/>
    <s v="2023-03-20"/>
    <x v="1"/>
    <x v="0"/>
    <n v="4261"/>
    <n v="528"/>
    <x v="2"/>
    <x v="1"/>
    <n v="0.12391457404365172"/>
    <x v="0"/>
    <x v="2"/>
  </r>
  <r>
    <n v="1233"/>
    <s v="2023-03-20"/>
    <x v="0"/>
    <x v="2"/>
    <n v="2065"/>
    <n v="783"/>
    <x v="0"/>
    <x v="0"/>
    <n v="0.37917675544794188"/>
    <x v="0"/>
    <x v="2"/>
  </r>
  <r>
    <n v="1717"/>
    <s v="2023-03-20"/>
    <x v="4"/>
    <x v="0"/>
    <n v="3910"/>
    <n v="493"/>
    <x v="3"/>
    <x v="1"/>
    <n v="0.12608695652173912"/>
    <x v="0"/>
    <x v="2"/>
  </r>
  <r>
    <n v="1253"/>
    <s v="2023-03-21"/>
    <x v="0"/>
    <x v="0"/>
    <n v="619"/>
    <n v="292"/>
    <x v="1"/>
    <x v="0"/>
    <n v="0.47172859450726978"/>
    <x v="0"/>
    <x v="2"/>
  </r>
  <r>
    <n v="1857"/>
    <s v="2023-03-22"/>
    <x v="5"/>
    <x v="2"/>
    <n v="3052"/>
    <n v="158"/>
    <x v="0"/>
    <x v="1"/>
    <n v="5.1769331585845346E-2"/>
    <x v="0"/>
    <x v="2"/>
  </r>
  <r>
    <n v="1997"/>
    <s v="2023-03-22"/>
    <x v="6"/>
    <x v="0"/>
    <n v="4603"/>
    <n v="414"/>
    <x v="2"/>
    <x v="0"/>
    <n v="8.9941342602650451E-2"/>
    <x v="0"/>
    <x v="2"/>
  </r>
  <r>
    <n v="1001"/>
    <s v="2023-03-23"/>
    <x v="2"/>
    <x v="0"/>
    <n v="2200"/>
    <n v="137"/>
    <x v="1"/>
    <x v="0"/>
    <n v="6.2272727272727271E-2"/>
    <x v="0"/>
    <x v="2"/>
  </r>
  <r>
    <n v="1530"/>
    <s v="2023-03-23"/>
    <x v="2"/>
    <x v="0"/>
    <n v="4478"/>
    <n v="569"/>
    <x v="2"/>
    <x v="1"/>
    <n v="0.12706565430995981"/>
    <x v="0"/>
    <x v="2"/>
  </r>
  <r>
    <n v="1565"/>
    <s v="2023-03-23"/>
    <x v="0"/>
    <x v="1"/>
    <n v="4038"/>
    <n v="840"/>
    <x v="1"/>
    <x v="1"/>
    <n v="0.20802377414561665"/>
    <x v="0"/>
    <x v="2"/>
  </r>
  <r>
    <n v="1778"/>
    <s v="2023-03-23"/>
    <x v="3"/>
    <x v="0"/>
    <n v="1243"/>
    <n v="33"/>
    <x v="2"/>
    <x v="0"/>
    <n v="2.6548672566371681E-2"/>
    <x v="0"/>
    <x v="2"/>
  </r>
  <r>
    <n v="1032"/>
    <s v="2023-03-24"/>
    <x v="5"/>
    <x v="0"/>
    <n v="1437"/>
    <n v="178"/>
    <x v="3"/>
    <x v="0"/>
    <n v="0.12386917188587335"/>
    <x v="0"/>
    <x v="2"/>
  </r>
  <r>
    <n v="1293"/>
    <s v="2023-03-24"/>
    <x v="0"/>
    <x v="0"/>
    <n v="3118"/>
    <n v="139"/>
    <x v="2"/>
    <x v="0"/>
    <n v="4.4579858883899932E-2"/>
    <x v="0"/>
    <x v="2"/>
  </r>
  <r>
    <n v="1750"/>
    <s v="2023-03-24"/>
    <x v="3"/>
    <x v="1"/>
    <n v="593"/>
    <n v="439"/>
    <x v="0"/>
    <x v="1"/>
    <n v="0.7403035413153457"/>
    <x v="0"/>
    <x v="2"/>
  </r>
  <r>
    <n v="1890"/>
    <s v="2023-03-24"/>
    <x v="6"/>
    <x v="2"/>
    <n v="2128"/>
    <n v="881"/>
    <x v="2"/>
    <x v="0"/>
    <n v="0.41400375939849626"/>
    <x v="0"/>
    <x v="2"/>
  </r>
  <r>
    <n v="1488"/>
    <s v="2023-03-25"/>
    <x v="2"/>
    <x v="2"/>
    <n v="680"/>
    <n v="137"/>
    <x v="1"/>
    <x v="1"/>
    <n v="0.20147058823529412"/>
    <x v="0"/>
    <x v="2"/>
  </r>
  <r>
    <n v="1876"/>
    <s v="2023-03-25"/>
    <x v="4"/>
    <x v="2"/>
    <n v="1614"/>
    <n v="45"/>
    <x v="3"/>
    <x v="0"/>
    <n v="2.7881040892193308E-2"/>
    <x v="0"/>
    <x v="2"/>
  </r>
  <r>
    <n v="1966"/>
    <s v="2023-03-25"/>
    <x v="4"/>
    <x v="1"/>
    <n v="4592"/>
    <n v="520"/>
    <x v="0"/>
    <x v="1"/>
    <n v="0.1132404181184669"/>
    <x v="0"/>
    <x v="2"/>
  </r>
  <r>
    <n v="1255"/>
    <s v="2023-03-26"/>
    <x v="3"/>
    <x v="0"/>
    <n v="3675"/>
    <n v="261"/>
    <x v="2"/>
    <x v="1"/>
    <n v="7.1020408163265311E-2"/>
    <x v="0"/>
    <x v="2"/>
  </r>
  <r>
    <n v="1550"/>
    <s v="2023-03-26"/>
    <x v="3"/>
    <x v="1"/>
    <n v="4042"/>
    <n v="455"/>
    <x v="3"/>
    <x v="0"/>
    <n v="0.11256803562592776"/>
    <x v="0"/>
    <x v="2"/>
  </r>
  <r>
    <n v="1622"/>
    <s v="2023-03-26"/>
    <x v="4"/>
    <x v="2"/>
    <n v="2341"/>
    <n v="305"/>
    <x v="3"/>
    <x v="0"/>
    <n v="0.13028620247757369"/>
    <x v="0"/>
    <x v="2"/>
  </r>
  <r>
    <n v="1816"/>
    <s v="2023-03-26"/>
    <x v="4"/>
    <x v="2"/>
    <n v="2674"/>
    <n v="673"/>
    <x v="1"/>
    <x v="0"/>
    <n v="0.25168287210172025"/>
    <x v="0"/>
    <x v="2"/>
  </r>
  <r>
    <n v="1833"/>
    <s v="2023-03-26"/>
    <x v="2"/>
    <x v="1"/>
    <n v="3346"/>
    <n v="48"/>
    <x v="3"/>
    <x v="0"/>
    <n v="1.434548714883443E-2"/>
    <x v="0"/>
    <x v="2"/>
  </r>
  <r>
    <n v="1969"/>
    <s v="2023-03-26"/>
    <x v="2"/>
    <x v="0"/>
    <n v="1791"/>
    <n v="255"/>
    <x v="3"/>
    <x v="0"/>
    <n v="0.14237855946398659"/>
    <x v="0"/>
    <x v="2"/>
  </r>
  <r>
    <n v="1101"/>
    <s v="2023-03-27"/>
    <x v="3"/>
    <x v="1"/>
    <n v="4699"/>
    <n v="559"/>
    <x v="3"/>
    <x v="1"/>
    <n v="0.11896148116620557"/>
    <x v="0"/>
    <x v="2"/>
  </r>
  <r>
    <n v="1114"/>
    <s v="2023-03-27"/>
    <x v="0"/>
    <x v="1"/>
    <n v="4808"/>
    <n v="949"/>
    <x v="3"/>
    <x v="1"/>
    <n v="0.19737936772046588"/>
    <x v="0"/>
    <x v="2"/>
  </r>
  <r>
    <n v="1174"/>
    <s v="2023-03-27"/>
    <x v="2"/>
    <x v="1"/>
    <n v="2706"/>
    <n v="987"/>
    <x v="1"/>
    <x v="0"/>
    <n v="0.3647450110864745"/>
    <x v="0"/>
    <x v="2"/>
  </r>
  <r>
    <n v="1932"/>
    <s v="2023-03-28"/>
    <x v="0"/>
    <x v="0"/>
    <n v="4994"/>
    <n v="958"/>
    <x v="1"/>
    <x v="0"/>
    <n v="0.19183019623548259"/>
    <x v="0"/>
    <x v="2"/>
  </r>
  <r>
    <n v="1338"/>
    <s v="2023-03-29"/>
    <x v="6"/>
    <x v="1"/>
    <n v="678"/>
    <n v="486"/>
    <x v="2"/>
    <x v="0"/>
    <n v="0.7168141592920354"/>
    <x v="0"/>
    <x v="2"/>
  </r>
  <r>
    <n v="1608"/>
    <s v="2023-03-29"/>
    <x v="5"/>
    <x v="1"/>
    <n v="1307"/>
    <n v="55"/>
    <x v="1"/>
    <x v="0"/>
    <n v="4.2081101759755164E-2"/>
    <x v="0"/>
    <x v="2"/>
  </r>
  <r>
    <n v="1818"/>
    <s v="2023-03-29"/>
    <x v="1"/>
    <x v="1"/>
    <n v="873"/>
    <n v="350"/>
    <x v="0"/>
    <x v="1"/>
    <n v="0.40091638029782362"/>
    <x v="0"/>
    <x v="2"/>
  </r>
  <r>
    <n v="1366"/>
    <s v="2023-03-30"/>
    <x v="0"/>
    <x v="2"/>
    <n v="344"/>
    <n v="337"/>
    <x v="3"/>
    <x v="1"/>
    <n v="0.97965116279069764"/>
    <x v="0"/>
    <x v="2"/>
  </r>
  <r>
    <n v="1614"/>
    <s v="2023-03-30"/>
    <x v="6"/>
    <x v="1"/>
    <n v="2207"/>
    <n v="612"/>
    <x v="0"/>
    <x v="0"/>
    <n v="0.27729950158586314"/>
    <x v="0"/>
    <x v="2"/>
  </r>
  <r>
    <n v="1303"/>
    <s v="2023-03-31"/>
    <x v="0"/>
    <x v="0"/>
    <n v="4724"/>
    <n v="102"/>
    <x v="0"/>
    <x v="1"/>
    <n v="2.1591871295512276E-2"/>
    <x v="0"/>
    <x v="2"/>
  </r>
  <r>
    <n v="1426"/>
    <s v="2023-03-31"/>
    <x v="5"/>
    <x v="2"/>
    <n v="458"/>
    <n v="624"/>
    <x v="1"/>
    <x v="1"/>
    <n v="1.3624454148471616"/>
    <x v="0"/>
    <x v="2"/>
  </r>
  <r>
    <n v="1747"/>
    <s v="2023-03-31"/>
    <x v="1"/>
    <x v="2"/>
    <n v="403"/>
    <n v="583"/>
    <x v="3"/>
    <x v="1"/>
    <n v="1.4466501240694789"/>
    <x v="0"/>
    <x v="2"/>
  </r>
  <r>
    <n v="1904"/>
    <s v="2023-03-31"/>
    <x v="1"/>
    <x v="2"/>
    <n v="2860"/>
    <n v="518"/>
    <x v="1"/>
    <x v="1"/>
    <n v="0.18111888111888111"/>
    <x v="0"/>
    <x v="2"/>
  </r>
  <r>
    <n v="1953"/>
    <s v="2023-03-31"/>
    <x v="2"/>
    <x v="2"/>
    <n v="3075"/>
    <n v="831"/>
    <x v="1"/>
    <x v="1"/>
    <n v="0.27024390243902441"/>
    <x v="0"/>
    <x v="2"/>
  </r>
  <r>
    <n v="1011"/>
    <s v="2023-04-01"/>
    <x v="0"/>
    <x v="1"/>
    <n v="2147"/>
    <n v="25"/>
    <x v="3"/>
    <x v="0"/>
    <n v="1.1644154634373545E-2"/>
    <x v="0"/>
    <x v="3"/>
  </r>
  <r>
    <n v="1589"/>
    <s v="2023-04-01"/>
    <x v="4"/>
    <x v="1"/>
    <n v="1815"/>
    <n v="910"/>
    <x v="0"/>
    <x v="0"/>
    <n v="0.50137741046831952"/>
    <x v="0"/>
    <x v="3"/>
  </r>
  <r>
    <n v="1831"/>
    <s v="2023-04-01"/>
    <x v="6"/>
    <x v="1"/>
    <n v="3258"/>
    <n v="888"/>
    <x v="2"/>
    <x v="0"/>
    <n v="0.27255985267034993"/>
    <x v="0"/>
    <x v="3"/>
  </r>
  <r>
    <n v="1507"/>
    <s v="2023-04-02"/>
    <x v="6"/>
    <x v="2"/>
    <n v="692"/>
    <n v="660"/>
    <x v="3"/>
    <x v="1"/>
    <n v="0.95375722543352603"/>
    <x v="0"/>
    <x v="3"/>
  </r>
  <r>
    <n v="1965"/>
    <s v="2023-04-02"/>
    <x v="0"/>
    <x v="0"/>
    <n v="4464"/>
    <n v="756"/>
    <x v="1"/>
    <x v="1"/>
    <n v="0.16935483870967741"/>
    <x v="0"/>
    <x v="3"/>
  </r>
  <r>
    <n v="1010"/>
    <s v="2023-04-03"/>
    <x v="1"/>
    <x v="1"/>
    <n v="882"/>
    <n v="967"/>
    <x v="2"/>
    <x v="0"/>
    <n v="1.0963718820861679"/>
    <x v="0"/>
    <x v="3"/>
  </r>
  <r>
    <n v="1144"/>
    <s v="2023-04-03"/>
    <x v="1"/>
    <x v="0"/>
    <n v="4540"/>
    <n v="81"/>
    <x v="3"/>
    <x v="0"/>
    <n v="1.7841409691629957E-2"/>
    <x v="0"/>
    <x v="3"/>
  </r>
  <r>
    <n v="1483"/>
    <s v="2023-04-03"/>
    <x v="5"/>
    <x v="2"/>
    <n v="4837"/>
    <n v="697"/>
    <x v="3"/>
    <x v="1"/>
    <n v="0.14409758114533802"/>
    <x v="0"/>
    <x v="3"/>
  </r>
  <r>
    <n v="1805"/>
    <s v="2023-04-03"/>
    <x v="2"/>
    <x v="0"/>
    <n v="3119"/>
    <n v="718"/>
    <x v="2"/>
    <x v="1"/>
    <n v="0.23020198781660789"/>
    <x v="0"/>
    <x v="3"/>
  </r>
  <r>
    <n v="1385"/>
    <s v="2023-04-04"/>
    <x v="5"/>
    <x v="0"/>
    <n v="2938"/>
    <n v="432"/>
    <x v="3"/>
    <x v="1"/>
    <n v="0.14703880190605853"/>
    <x v="0"/>
    <x v="3"/>
  </r>
  <r>
    <n v="1194"/>
    <s v="2023-04-05"/>
    <x v="6"/>
    <x v="2"/>
    <n v="2890"/>
    <n v="97"/>
    <x v="2"/>
    <x v="0"/>
    <n v="3.3564013840830451E-2"/>
    <x v="0"/>
    <x v="3"/>
  </r>
  <r>
    <n v="1432"/>
    <s v="2023-04-05"/>
    <x v="1"/>
    <x v="1"/>
    <n v="1402"/>
    <n v="273"/>
    <x v="0"/>
    <x v="1"/>
    <n v="0.19472182596291013"/>
    <x v="0"/>
    <x v="3"/>
  </r>
  <r>
    <n v="1481"/>
    <s v="2023-04-05"/>
    <x v="3"/>
    <x v="0"/>
    <n v="3290"/>
    <n v="500"/>
    <x v="2"/>
    <x v="1"/>
    <n v="0.1519756838905775"/>
    <x v="0"/>
    <x v="3"/>
  </r>
  <r>
    <n v="1710"/>
    <s v="2023-04-05"/>
    <x v="5"/>
    <x v="1"/>
    <n v="447"/>
    <n v="283"/>
    <x v="1"/>
    <x v="0"/>
    <n v="0.63310961968680091"/>
    <x v="0"/>
    <x v="3"/>
  </r>
  <r>
    <n v="1807"/>
    <s v="2023-04-05"/>
    <x v="6"/>
    <x v="0"/>
    <n v="4767"/>
    <n v="136"/>
    <x v="1"/>
    <x v="1"/>
    <n v="2.852947346339417E-2"/>
    <x v="0"/>
    <x v="3"/>
  </r>
  <r>
    <n v="1333"/>
    <s v="2023-04-07"/>
    <x v="4"/>
    <x v="2"/>
    <n v="3413"/>
    <n v="390"/>
    <x v="2"/>
    <x v="1"/>
    <n v="0.11426897157925579"/>
    <x v="0"/>
    <x v="3"/>
  </r>
  <r>
    <n v="1922"/>
    <s v="2023-04-07"/>
    <x v="1"/>
    <x v="1"/>
    <n v="966"/>
    <n v="318"/>
    <x v="0"/>
    <x v="1"/>
    <n v="0.32919254658385094"/>
    <x v="0"/>
    <x v="3"/>
  </r>
  <r>
    <n v="1177"/>
    <s v="2023-04-08"/>
    <x v="2"/>
    <x v="1"/>
    <n v="4601"/>
    <n v="572"/>
    <x v="0"/>
    <x v="0"/>
    <n v="0.12432079982612476"/>
    <x v="0"/>
    <x v="3"/>
  </r>
  <r>
    <n v="1019"/>
    <s v="2023-04-09"/>
    <x v="1"/>
    <x v="0"/>
    <n v="4622"/>
    <n v="48"/>
    <x v="0"/>
    <x v="0"/>
    <n v="1.038511466897447E-2"/>
    <x v="0"/>
    <x v="3"/>
  </r>
  <r>
    <n v="1596"/>
    <s v="2023-04-09"/>
    <x v="0"/>
    <x v="0"/>
    <n v="4506"/>
    <n v="899"/>
    <x v="0"/>
    <x v="0"/>
    <n v="0.19951176209498447"/>
    <x v="0"/>
    <x v="3"/>
  </r>
  <r>
    <n v="1270"/>
    <s v="2023-04-10"/>
    <x v="2"/>
    <x v="1"/>
    <n v="3677"/>
    <n v="962"/>
    <x v="0"/>
    <x v="0"/>
    <n v="0.26162632580908352"/>
    <x v="0"/>
    <x v="3"/>
  </r>
  <r>
    <n v="1382"/>
    <s v="2023-04-10"/>
    <x v="5"/>
    <x v="0"/>
    <n v="1570"/>
    <n v="911"/>
    <x v="2"/>
    <x v="1"/>
    <n v="0.58025477707006368"/>
    <x v="0"/>
    <x v="3"/>
  </r>
  <r>
    <n v="1661"/>
    <s v="2023-04-10"/>
    <x v="1"/>
    <x v="1"/>
    <n v="4391"/>
    <n v="818"/>
    <x v="3"/>
    <x v="1"/>
    <n v="0.18629013892051924"/>
    <x v="0"/>
    <x v="3"/>
  </r>
  <r>
    <n v="1238"/>
    <s v="2023-04-11"/>
    <x v="3"/>
    <x v="0"/>
    <n v="1959"/>
    <n v="59"/>
    <x v="0"/>
    <x v="0"/>
    <n v="3.0117406840224605E-2"/>
    <x v="0"/>
    <x v="3"/>
  </r>
  <r>
    <n v="1453"/>
    <s v="2023-04-11"/>
    <x v="4"/>
    <x v="0"/>
    <n v="4717"/>
    <n v="144"/>
    <x v="1"/>
    <x v="0"/>
    <n v="3.0527877888488444E-2"/>
    <x v="0"/>
    <x v="3"/>
  </r>
  <r>
    <n v="1586"/>
    <s v="2023-04-11"/>
    <x v="2"/>
    <x v="0"/>
    <n v="2116"/>
    <n v="162"/>
    <x v="1"/>
    <x v="0"/>
    <n v="7.6559546313799617E-2"/>
    <x v="0"/>
    <x v="3"/>
  </r>
  <r>
    <n v="1790"/>
    <s v="2023-04-11"/>
    <x v="0"/>
    <x v="0"/>
    <n v="4304"/>
    <n v="222"/>
    <x v="3"/>
    <x v="0"/>
    <n v="5.157992565055762E-2"/>
    <x v="0"/>
    <x v="3"/>
  </r>
  <r>
    <n v="1871"/>
    <s v="2023-04-11"/>
    <x v="3"/>
    <x v="2"/>
    <n v="3763"/>
    <n v="624"/>
    <x v="3"/>
    <x v="1"/>
    <n v="0.16582513951634334"/>
    <x v="0"/>
    <x v="3"/>
  </r>
  <r>
    <n v="1357"/>
    <s v="2023-04-12"/>
    <x v="6"/>
    <x v="0"/>
    <n v="2414"/>
    <n v="370"/>
    <x v="3"/>
    <x v="1"/>
    <n v="0.15327257663628832"/>
    <x v="0"/>
    <x v="3"/>
  </r>
  <r>
    <n v="1411"/>
    <s v="2023-04-13"/>
    <x v="5"/>
    <x v="2"/>
    <n v="3748"/>
    <n v="720"/>
    <x v="1"/>
    <x v="1"/>
    <n v="0.19210245464247599"/>
    <x v="0"/>
    <x v="3"/>
  </r>
  <r>
    <n v="1677"/>
    <s v="2023-04-13"/>
    <x v="5"/>
    <x v="1"/>
    <n v="2924"/>
    <n v="647"/>
    <x v="3"/>
    <x v="0"/>
    <n v="0.22127222982216141"/>
    <x v="0"/>
    <x v="3"/>
  </r>
  <r>
    <n v="1800"/>
    <s v="2023-04-13"/>
    <x v="5"/>
    <x v="1"/>
    <n v="4895"/>
    <n v="886"/>
    <x v="0"/>
    <x v="0"/>
    <n v="0.18100102145045965"/>
    <x v="0"/>
    <x v="3"/>
  </r>
  <r>
    <n v="1568"/>
    <s v="2023-04-14"/>
    <x v="6"/>
    <x v="0"/>
    <n v="491"/>
    <n v="257"/>
    <x v="3"/>
    <x v="1"/>
    <n v="0.52342158859470467"/>
    <x v="0"/>
    <x v="3"/>
  </r>
  <r>
    <n v="1685"/>
    <s v="2023-04-14"/>
    <x v="0"/>
    <x v="1"/>
    <n v="109"/>
    <n v="999"/>
    <x v="1"/>
    <x v="1"/>
    <n v="9.1651376146788994"/>
    <x v="0"/>
    <x v="3"/>
  </r>
  <r>
    <n v="1413"/>
    <s v="2023-04-15"/>
    <x v="2"/>
    <x v="0"/>
    <n v="2794"/>
    <n v="1000"/>
    <x v="2"/>
    <x v="1"/>
    <n v="0.35790980672870437"/>
    <x v="0"/>
    <x v="3"/>
  </r>
  <r>
    <n v="1752"/>
    <s v="2023-04-15"/>
    <x v="5"/>
    <x v="2"/>
    <n v="2339"/>
    <n v="239"/>
    <x v="2"/>
    <x v="0"/>
    <n v="0.10218041898247114"/>
    <x v="0"/>
    <x v="3"/>
  </r>
  <r>
    <n v="1302"/>
    <s v="2023-04-16"/>
    <x v="0"/>
    <x v="0"/>
    <n v="3683"/>
    <n v="654"/>
    <x v="3"/>
    <x v="1"/>
    <n v="0.17757263100733098"/>
    <x v="0"/>
    <x v="3"/>
  </r>
  <r>
    <n v="1313"/>
    <s v="2023-04-16"/>
    <x v="0"/>
    <x v="2"/>
    <n v="3077"/>
    <n v="747"/>
    <x v="2"/>
    <x v="1"/>
    <n v="0.24276893077673059"/>
    <x v="0"/>
    <x v="3"/>
  </r>
  <r>
    <n v="1434"/>
    <s v="2023-04-16"/>
    <x v="0"/>
    <x v="2"/>
    <n v="2335"/>
    <n v="557"/>
    <x v="2"/>
    <x v="0"/>
    <n v="0.23854389721627409"/>
    <x v="0"/>
    <x v="3"/>
  </r>
  <r>
    <n v="1467"/>
    <s v="2023-04-16"/>
    <x v="0"/>
    <x v="1"/>
    <n v="2456"/>
    <n v="810"/>
    <x v="2"/>
    <x v="0"/>
    <n v="0.3298045602605863"/>
    <x v="0"/>
    <x v="3"/>
  </r>
  <r>
    <n v="1517"/>
    <s v="2023-04-16"/>
    <x v="1"/>
    <x v="1"/>
    <n v="4225"/>
    <n v="686"/>
    <x v="2"/>
    <x v="0"/>
    <n v="0.16236686390532545"/>
    <x v="0"/>
    <x v="3"/>
  </r>
  <r>
    <n v="1787"/>
    <s v="2023-04-16"/>
    <x v="1"/>
    <x v="2"/>
    <n v="698"/>
    <n v="435"/>
    <x v="2"/>
    <x v="0"/>
    <n v="0.62320916905444124"/>
    <x v="0"/>
    <x v="3"/>
  </r>
  <r>
    <n v="1649"/>
    <s v="2023-04-17"/>
    <x v="6"/>
    <x v="0"/>
    <n v="4629"/>
    <n v="691"/>
    <x v="2"/>
    <x v="0"/>
    <n v="0.14927630157701446"/>
    <x v="0"/>
    <x v="3"/>
  </r>
  <r>
    <n v="1811"/>
    <s v="2023-04-17"/>
    <x v="6"/>
    <x v="0"/>
    <n v="1807"/>
    <n v="132"/>
    <x v="1"/>
    <x v="1"/>
    <n v="7.3049252905368012E-2"/>
    <x v="0"/>
    <x v="3"/>
  </r>
  <r>
    <n v="1072"/>
    <s v="2023-04-18"/>
    <x v="5"/>
    <x v="2"/>
    <n v="1066"/>
    <n v="68"/>
    <x v="3"/>
    <x v="0"/>
    <n v="6.3789868667917443E-2"/>
    <x v="0"/>
    <x v="3"/>
  </r>
  <r>
    <n v="1073"/>
    <s v="2023-04-18"/>
    <x v="6"/>
    <x v="2"/>
    <n v="4568"/>
    <n v="387"/>
    <x v="2"/>
    <x v="1"/>
    <n v="8.4719789842381793E-2"/>
    <x v="0"/>
    <x v="3"/>
  </r>
  <r>
    <n v="1121"/>
    <s v="2023-04-18"/>
    <x v="6"/>
    <x v="0"/>
    <n v="3788"/>
    <n v="867"/>
    <x v="0"/>
    <x v="0"/>
    <n v="0.22888067581837382"/>
    <x v="0"/>
    <x v="3"/>
  </r>
  <r>
    <n v="1283"/>
    <s v="2023-04-18"/>
    <x v="3"/>
    <x v="2"/>
    <n v="1684"/>
    <n v="46"/>
    <x v="1"/>
    <x v="0"/>
    <n v="2.7315914489311165E-2"/>
    <x v="0"/>
    <x v="3"/>
  </r>
  <r>
    <n v="1543"/>
    <s v="2023-04-18"/>
    <x v="4"/>
    <x v="1"/>
    <n v="2410"/>
    <n v="639"/>
    <x v="0"/>
    <x v="0"/>
    <n v="0.26514522821576764"/>
    <x v="0"/>
    <x v="3"/>
  </r>
  <r>
    <n v="1611"/>
    <s v="2023-04-18"/>
    <x v="0"/>
    <x v="1"/>
    <n v="4335"/>
    <n v="667"/>
    <x v="0"/>
    <x v="0"/>
    <n v="0.15386389850057669"/>
    <x v="0"/>
    <x v="3"/>
  </r>
  <r>
    <n v="1797"/>
    <s v="2023-04-19"/>
    <x v="4"/>
    <x v="1"/>
    <n v="1465"/>
    <n v="150"/>
    <x v="2"/>
    <x v="1"/>
    <n v="0.10238907849829351"/>
    <x v="0"/>
    <x v="3"/>
  </r>
  <r>
    <n v="1834"/>
    <s v="2023-04-19"/>
    <x v="4"/>
    <x v="2"/>
    <n v="4726"/>
    <n v="397"/>
    <x v="2"/>
    <x v="0"/>
    <n v="8.4003385526872615E-2"/>
    <x v="0"/>
    <x v="3"/>
  </r>
  <r>
    <n v="1561"/>
    <s v="2023-04-20"/>
    <x v="4"/>
    <x v="1"/>
    <n v="1412"/>
    <n v="329"/>
    <x v="2"/>
    <x v="0"/>
    <n v="0.23300283286118981"/>
    <x v="0"/>
    <x v="3"/>
  </r>
  <r>
    <n v="1825"/>
    <s v="2023-04-20"/>
    <x v="6"/>
    <x v="0"/>
    <n v="4385"/>
    <n v="315"/>
    <x v="1"/>
    <x v="0"/>
    <n v="7.1835803876852913E-2"/>
    <x v="0"/>
    <x v="3"/>
  </r>
  <r>
    <n v="1436"/>
    <s v="2023-04-21"/>
    <x v="3"/>
    <x v="0"/>
    <n v="2312"/>
    <n v="709"/>
    <x v="1"/>
    <x v="1"/>
    <n v="0.30666089965397925"/>
    <x v="0"/>
    <x v="3"/>
  </r>
  <r>
    <n v="1558"/>
    <s v="2023-04-21"/>
    <x v="1"/>
    <x v="0"/>
    <n v="2863"/>
    <n v="599"/>
    <x v="2"/>
    <x v="1"/>
    <n v="0.20922109675165909"/>
    <x v="0"/>
    <x v="3"/>
  </r>
  <r>
    <n v="1935"/>
    <s v="2023-04-21"/>
    <x v="4"/>
    <x v="1"/>
    <n v="850"/>
    <n v="99"/>
    <x v="1"/>
    <x v="1"/>
    <n v="0.11647058823529412"/>
    <x v="0"/>
    <x v="3"/>
  </r>
  <r>
    <n v="1276"/>
    <s v="2023-04-22"/>
    <x v="5"/>
    <x v="0"/>
    <n v="4079"/>
    <n v="226"/>
    <x v="1"/>
    <x v="0"/>
    <n v="5.5405736700171612E-2"/>
    <x v="0"/>
    <x v="3"/>
  </r>
  <r>
    <n v="1279"/>
    <s v="2023-04-22"/>
    <x v="5"/>
    <x v="1"/>
    <n v="4305"/>
    <n v="236"/>
    <x v="2"/>
    <x v="0"/>
    <n v="5.4819976771196287E-2"/>
    <x v="0"/>
    <x v="3"/>
  </r>
  <r>
    <n v="1082"/>
    <s v="2023-04-23"/>
    <x v="3"/>
    <x v="0"/>
    <n v="4939"/>
    <n v="260"/>
    <x v="1"/>
    <x v="1"/>
    <n v="5.2642235270297634E-2"/>
    <x v="0"/>
    <x v="3"/>
  </r>
  <r>
    <n v="1084"/>
    <s v="2023-04-23"/>
    <x v="5"/>
    <x v="2"/>
    <n v="230"/>
    <n v="500"/>
    <x v="0"/>
    <x v="0"/>
    <n v="2.1739130434782608"/>
    <x v="0"/>
    <x v="3"/>
  </r>
  <r>
    <n v="1518"/>
    <s v="2023-04-23"/>
    <x v="0"/>
    <x v="0"/>
    <n v="2155"/>
    <n v="74"/>
    <x v="3"/>
    <x v="0"/>
    <n v="3.4338747099767981E-2"/>
    <x v="0"/>
    <x v="3"/>
  </r>
  <r>
    <n v="1572"/>
    <s v="2023-04-23"/>
    <x v="0"/>
    <x v="0"/>
    <n v="2615"/>
    <n v="76"/>
    <x v="3"/>
    <x v="1"/>
    <n v="2.9063097514340344E-2"/>
    <x v="0"/>
    <x v="3"/>
  </r>
  <r>
    <n v="1972"/>
    <s v="2023-04-23"/>
    <x v="4"/>
    <x v="0"/>
    <n v="1587"/>
    <n v="582"/>
    <x v="1"/>
    <x v="1"/>
    <n v="0.3667296786389414"/>
    <x v="0"/>
    <x v="3"/>
  </r>
  <r>
    <n v="1345"/>
    <s v="2023-04-24"/>
    <x v="5"/>
    <x v="1"/>
    <n v="1347"/>
    <n v="227"/>
    <x v="0"/>
    <x v="0"/>
    <n v="0.16852264291017074"/>
    <x v="0"/>
    <x v="3"/>
  </r>
  <r>
    <n v="1714"/>
    <s v="2023-04-24"/>
    <x v="3"/>
    <x v="0"/>
    <n v="2976"/>
    <n v="667"/>
    <x v="1"/>
    <x v="1"/>
    <n v="0.2241263440860215"/>
    <x v="0"/>
    <x v="3"/>
  </r>
  <r>
    <n v="1893"/>
    <s v="2023-04-24"/>
    <x v="2"/>
    <x v="0"/>
    <n v="699"/>
    <n v="135"/>
    <x v="2"/>
    <x v="0"/>
    <n v="0.19313304721030042"/>
    <x v="0"/>
    <x v="3"/>
  </r>
  <r>
    <n v="1120"/>
    <s v="2023-04-25"/>
    <x v="1"/>
    <x v="2"/>
    <n v="824"/>
    <n v="79"/>
    <x v="1"/>
    <x v="1"/>
    <n v="9.5873786407766989E-2"/>
    <x v="0"/>
    <x v="3"/>
  </r>
  <r>
    <n v="1138"/>
    <s v="2023-04-25"/>
    <x v="4"/>
    <x v="2"/>
    <n v="4699"/>
    <n v="250"/>
    <x v="1"/>
    <x v="0"/>
    <n v="5.3202809108320918E-2"/>
    <x v="0"/>
    <x v="3"/>
  </r>
  <r>
    <n v="1591"/>
    <s v="2023-04-25"/>
    <x v="4"/>
    <x v="2"/>
    <n v="1464"/>
    <n v="524"/>
    <x v="2"/>
    <x v="1"/>
    <n v="0.35792349726775957"/>
    <x v="0"/>
    <x v="3"/>
  </r>
  <r>
    <n v="1998"/>
    <s v="2023-04-25"/>
    <x v="1"/>
    <x v="2"/>
    <n v="1169"/>
    <n v="842"/>
    <x v="3"/>
    <x v="1"/>
    <n v="0.72027373823781005"/>
    <x v="0"/>
    <x v="3"/>
  </r>
  <r>
    <n v="1339"/>
    <s v="2023-04-27"/>
    <x v="4"/>
    <x v="1"/>
    <n v="4410"/>
    <n v="170"/>
    <x v="2"/>
    <x v="1"/>
    <n v="3.8548752834467119E-2"/>
    <x v="0"/>
    <x v="3"/>
  </r>
  <r>
    <n v="1373"/>
    <s v="2023-04-27"/>
    <x v="1"/>
    <x v="0"/>
    <n v="3822"/>
    <n v="642"/>
    <x v="1"/>
    <x v="1"/>
    <n v="0.16797488226059654"/>
    <x v="0"/>
    <x v="3"/>
  </r>
  <r>
    <n v="1169"/>
    <s v="2023-04-28"/>
    <x v="2"/>
    <x v="2"/>
    <n v="1226"/>
    <n v="91"/>
    <x v="2"/>
    <x v="1"/>
    <n v="7.4225122349102779E-2"/>
    <x v="0"/>
    <x v="3"/>
  </r>
  <r>
    <n v="1429"/>
    <s v="2023-04-28"/>
    <x v="5"/>
    <x v="0"/>
    <n v="4724"/>
    <n v="585"/>
    <x v="3"/>
    <x v="1"/>
    <n v="0.12383573243014395"/>
    <x v="0"/>
    <x v="3"/>
  </r>
  <r>
    <n v="1634"/>
    <s v="2023-04-28"/>
    <x v="6"/>
    <x v="1"/>
    <n v="3590"/>
    <n v="131"/>
    <x v="3"/>
    <x v="1"/>
    <n v="3.6490250696378831E-2"/>
    <x v="0"/>
    <x v="3"/>
  </r>
  <r>
    <n v="1844"/>
    <s v="2023-04-28"/>
    <x v="0"/>
    <x v="1"/>
    <n v="1658"/>
    <n v="719"/>
    <x v="3"/>
    <x v="1"/>
    <n v="0.43365500603136309"/>
    <x v="0"/>
    <x v="3"/>
  </r>
  <r>
    <n v="1881"/>
    <s v="2023-04-28"/>
    <x v="0"/>
    <x v="2"/>
    <n v="2928"/>
    <n v="204"/>
    <x v="2"/>
    <x v="0"/>
    <n v="6.9672131147540978E-2"/>
    <x v="0"/>
    <x v="3"/>
  </r>
  <r>
    <n v="1197"/>
    <s v="2023-04-29"/>
    <x v="0"/>
    <x v="0"/>
    <n v="4138"/>
    <n v="529"/>
    <x v="3"/>
    <x v="1"/>
    <n v="0.12783953600773321"/>
    <x v="0"/>
    <x v="3"/>
  </r>
  <r>
    <n v="1947"/>
    <s v="2023-04-29"/>
    <x v="4"/>
    <x v="2"/>
    <n v="3669"/>
    <n v="212"/>
    <x v="0"/>
    <x v="1"/>
    <n v="5.7781411828836192E-2"/>
    <x v="0"/>
    <x v="3"/>
  </r>
  <r>
    <n v="1100"/>
    <s v="2023-04-30"/>
    <x v="6"/>
    <x v="2"/>
    <n v="3146"/>
    <n v="304"/>
    <x v="0"/>
    <x v="1"/>
    <n v="9.663064208518754E-2"/>
    <x v="0"/>
    <x v="3"/>
  </r>
  <r>
    <n v="1180"/>
    <s v="2023-04-30"/>
    <x v="5"/>
    <x v="1"/>
    <n v="3992"/>
    <n v="356"/>
    <x v="0"/>
    <x v="1"/>
    <n v="8.917835671342686E-2"/>
    <x v="0"/>
    <x v="3"/>
  </r>
  <r>
    <n v="1183"/>
    <s v="2023-05-01"/>
    <x v="0"/>
    <x v="2"/>
    <n v="2065"/>
    <n v="691"/>
    <x v="2"/>
    <x v="1"/>
    <n v="0.33462469733656175"/>
    <x v="0"/>
    <x v="4"/>
  </r>
  <r>
    <n v="1493"/>
    <s v="2023-05-01"/>
    <x v="6"/>
    <x v="1"/>
    <n v="774"/>
    <n v="965"/>
    <x v="1"/>
    <x v="1"/>
    <n v="1.2467700258397933"/>
    <x v="0"/>
    <x v="4"/>
  </r>
  <r>
    <n v="1002"/>
    <s v="2023-05-02"/>
    <x v="1"/>
    <x v="0"/>
    <n v="2776"/>
    <n v="233"/>
    <x v="0"/>
    <x v="1"/>
    <n v="8.3933717579250722E-2"/>
    <x v="0"/>
    <x v="4"/>
  </r>
  <r>
    <n v="1447"/>
    <s v="2023-05-02"/>
    <x v="3"/>
    <x v="2"/>
    <n v="2767"/>
    <n v="466"/>
    <x v="3"/>
    <x v="0"/>
    <n v="0.16841344416335383"/>
    <x v="0"/>
    <x v="4"/>
  </r>
  <r>
    <n v="1499"/>
    <s v="2023-05-03"/>
    <x v="1"/>
    <x v="2"/>
    <n v="857"/>
    <n v="410"/>
    <x v="2"/>
    <x v="0"/>
    <n v="0.47841306884480744"/>
    <x v="0"/>
    <x v="4"/>
  </r>
  <r>
    <n v="1772"/>
    <s v="2023-05-03"/>
    <x v="2"/>
    <x v="2"/>
    <n v="425"/>
    <n v="194"/>
    <x v="0"/>
    <x v="1"/>
    <n v="0.45647058823529413"/>
    <x v="0"/>
    <x v="4"/>
  </r>
  <r>
    <n v="1497"/>
    <s v="2023-05-04"/>
    <x v="4"/>
    <x v="2"/>
    <n v="3573"/>
    <n v="402"/>
    <x v="1"/>
    <x v="1"/>
    <n v="0.11251049538203191"/>
    <x v="0"/>
    <x v="4"/>
  </r>
  <r>
    <n v="1593"/>
    <s v="2023-05-04"/>
    <x v="1"/>
    <x v="2"/>
    <n v="2380"/>
    <n v="197"/>
    <x v="3"/>
    <x v="0"/>
    <n v="8.2773109243697476E-2"/>
    <x v="0"/>
    <x v="4"/>
  </r>
  <r>
    <n v="1027"/>
    <s v="2023-05-05"/>
    <x v="1"/>
    <x v="2"/>
    <n v="2861"/>
    <n v="914"/>
    <x v="0"/>
    <x v="1"/>
    <n v="0.31946871723173714"/>
    <x v="0"/>
    <x v="4"/>
  </r>
  <r>
    <n v="1160"/>
    <s v="2023-05-05"/>
    <x v="4"/>
    <x v="0"/>
    <n v="4653"/>
    <n v="416"/>
    <x v="1"/>
    <x v="1"/>
    <n v="8.9404685149366003E-2"/>
    <x v="0"/>
    <x v="4"/>
  </r>
  <r>
    <n v="1167"/>
    <s v="2023-05-05"/>
    <x v="4"/>
    <x v="0"/>
    <n v="1623"/>
    <n v="674"/>
    <x v="3"/>
    <x v="1"/>
    <n v="0.41528034504004929"/>
    <x v="0"/>
    <x v="4"/>
  </r>
  <r>
    <n v="1343"/>
    <s v="2023-05-05"/>
    <x v="0"/>
    <x v="1"/>
    <n v="3687"/>
    <n v="233"/>
    <x v="1"/>
    <x v="0"/>
    <n v="6.3195009492812579E-2"/>
    <x v="0"/>
    <x v="4"/>
  </r>
  <r>
    <n v="1030"/>
    <s v="2023-05-06"/>
    <x v="5"/>
    <x v="1"/>
    <n v="2933"/>
    <n v="424"/>
    <x v="3"/>
    <x v="1"/>
    <n v="0.14456188203204909"/>
    <x v="0"/>
    <x v="4"/>
  </r>
  <r>
    <n v="1707"/>
    <s v="2023-05-06"/>
    <x v="5"/>
    <x v="0"/>
    <n v="3761"/>
    <n v="823"/>
    <x v="0"/>
    <x v="0"/>
    <n v="0.2188247806434459"/>
    <x v="0"/>
    <x v="4"/>
  </r>
  <r>
    <n v="1716"/>
    <s v="2023-05-06"/>
    <x v="6"/>
    <x v="2"/>
    <n v="3455"/>
    <n v="521"/>
    <x v="2"/>
    <x v="1"/>
    <n v="0.1507959479015919"/>
    <x v="0"/>
    <x v="4"/>
  </r>
  <r>
    <n v="1487"/>
    <s v="2023-05-07"/>
    <x v="5"/>
    <x v="0"/>
    <n v="1061"/>
    <n v="862"/>
    <x v="2"/>
    <x v="0"/>
    <n v="0.8124410933081998"/>
    <x v="0"/>
    <x v="4"/>
  </r>
  <r>
    <n v="1116"/>
    <s v="2023-05-08"/>
    <x v="1"/>
    <x v="1"/>
    <n v="533"/>
    <n v="814"/>
    <x v="1"/>
    <x v="1"/>
    <n v="1.5272045028142589"/>
    <x v="0"/>
    <x v="4"/>
  </r>
  <r>
    <n v="1199"/>
    <s v="2023-05-08"/>
    <x v="4"/>
    <x v="2"/>
    <n v="1754"/>
    <n v="545"/>
    <x v="1"/>
    <x v="0"/>
    <n v="0.31071835803876852"/>
    <x v="0"/>
    <x v="4"/>
  </r>
  <r>
    <n v="1603"/>
    <s v="2023-05-08"/>
    <x v="2"/>
    <x v="1"/>
    <n v="4010"/>
    <n v="208"/>
    <x v="1"/>
    <x v="1"/>
    <n v="5.1870324189526182E-2"/>
    <x v="0"/>
    <x v="4"/>
  </r>
  <r>
    <n v="1821"/>
    <s v="2023-05-08"/>
    <x v="2"/>
    <x v="1"/>
    <n v="4225"/>
    <n v="950"/>
    <x v="1"/>
    <x v="1"/>
    <n v="0.22485207100591717"/>
    <x v="0"/>
    <x v="4"/>
  </r>
  <r>
    <n v="1594"/>
    <s v="2023-05-09"/>
    <x v="0"/>
    <x v="2"/>
    <n v="1997"/>
    <n v="196"/>
    <x v="0"/>
    <x v="1"/>
    <n v="9.814722083124687E-2"/>
    <x v="0"/>
    <x v="4"/>
  </r>
  <r>
    <n v="1600"/>
    <s v="2023-05-09"/>
    <x v="1"/>
    <x v="0"/>
    <n v="523"/>
    <n v="610"/>
    <x v="3"/>
    <x v="0"/>
    <n v="1.1663479923518165"/>
    <x v="0"/>
    <x v="4"/>
  </r>
  <r>
    <n v="1728"/>
    <s v="2023-05-09"/>
    <x v="2"/>
    <x v="2"/>
    <n v="475"/>
    <n v="129"/>
    <x v="2"/>
    <x v="1"/>
    <n v="0.27157894736842103"/>
    <x v="0"/>
    <x v="4"/>
  </r>
  <r>
    <n v="1773"/>
    <s v="2023-05-09"/>
    <x v="0"/>
    <x v="1"/>
    <n v="4018"/>
    <n v="516"/>
    <x v="3"/>
    <x v="0"/>
    <n v="0.12842210054753608"/>
    <x v="0"/>
    <x v="4"/>
  </r>
  <r>
    <n v="1495"/>
    <s v="2023-05-10"/>
    <x v="0"/>
    <x v="1"/>
    <n v="1540"/>
    <n v="155"/>
    <x v="3"/>
    <x v="1"/>
    <n v="0.10064935064935066"/>
    <x v="0"/>
    <x v="4"/>
  </r>
  <r>
    <n v="1539"/>
    <s v="2023-05-10"/>
    <x v="5"/>
    <x v="1"/>
    <n v="1866"/>
    <n v="414"/>
    <x v="2"/>
    <x v="0"/>
    <n v="0.22186495176848875"/>
    <x v="0"/>
    <x v="4"/>
  </r>
  <r>
    <n v="1613"/>
    <s v="2023-05-10"/>
    <x v="5"/>
    <x v="1"/>
    <n v="427"/>
    <n v="818"/>
    <x v="3"/>
    <x v="0"/>
    <n v="1.9156908665105385"/>
    <x v="0"/>
    <x v="4"/>
  </r>
  <r>
    <n v="1157"/>
    <s v="2023-05-11"/>
    <x v="4"/>
    <x v="2"/>
    <n v="1787"/>
    <n v="829"/>
    <x v="1"/>
    <x v="1"/>
    <n v="0.46390598768886404"/>
    <x v="0"/>
    <x v="4"/>
  </r>
  <r>
    <n v="1745"/>
    <s v="2023-05-11"/>
    <x v="5"/>
    <x v="0"/>
    <n v="4595"/>
    <n v="464"/>
    <x v="3"/>
    <x v="1"/>
    <n v="0.10097932535364526"/>
    <x v="0"/>
    <x v="4"/>
  </r>
  <r>
    <n v="1770"/>
    <s v="2023-05-11"/>
    <x v="4"/>
    <x v="1"/>
    <n v="2427"/>
    <n v="49"/>
    <x v="3"/>
    <x v="0"/>
    <n v="2.018953440461475E-2"/>
    <x v="0"/>
    <x v="4"/>
  </r>
  <r>
    <n v="1512"/>
    <s v="2023-05-13"/>
    <x v="6"/>
    <x v="0"/>
    <n v="4264"/>
    <n v="984"/>
    <x v="0"/>
    <x v="1"/>
    <n v="0.23076923076923078"/>
    <x v="0"/>
    <x v="4"/>
  </r>
  <r>
    <n v="1599"/>
    <s v="2023-05-13"/>
    <x v="4"/>
    <x v="2"/>
    <n v="1831"/>
    <n v="495"/>
    <x v="3"/>
    <x v="0"/>
    <n v="0.27034407427635171"/>
    <x v="0"/>
    <x v="4"/>
  </r>
  <r>
    <n v="1736"/>
    <s v="2023-05-13"/>
    <x v="3"/>
    <x v="1"/>
    <n v="1610"/>
    <n v="87"/>
    <x v="3"/>
    <x v="0"/>
    <n v="5.4037267080745341E-2"/>
    <x v="0"/>
    <x v="4"/>
  </r>
  <r>
    <n v="1141"/>
    <s v="2023-05-14"/>
    <x v="0"/>
    <x v="0"/>
    <n v="1831"/>
    <n v="104"/>
    <x v="1"/>
    <x v="0"/>
    <n v="5.6799563080283999E-2"/>
    <x v="0"/>
    <x v="4"/>
  </r>
  <r>
    <n v="1246"/>
    <s v="2023-05-14"/>
    <x v="1"/>
    <x v="0"/>
    <n v="4348"/>
    <n v="445"/>
    <x v="3"/>
    <x v="0"/>
    <n v="0.10234590616375346"/>
    <x v="0"/>
    <x v="4"/>
  </r>
  <r>
    <n v="1870"/>
    <s v="2023-05-15"/>
    <x v="0"/>
    <x v="1"/>
    <n v="3973"/>
    <n v="645"/>
    <x v="3"/>
    <x v="0"/>
    <n v="0.16234583438207903"/>
    <x v="0"/>
    <x v="4"/>
  </r>
  <r>
    <n v="1112"/>
    <s v="2023-05-16"/>
    <x v="6"/>
    <x v="1"/>
    <n v="470"/>
    <n v="505"/>
    <x v="1"/>
    <x v="0"/>
    <n v="1.074468085106383"/>
    <x v="0"/>
    <x v="4"/>
  </r>
  <r>
    <n v="1514"/>
    <s v="2023-05-16"/>
    <x v="5"/>
    <x v="1"/>
    <n v="3381"/>
    <n v="137"/>
    <x v="3"/>
    <x v="1"/>
    <n v="4.0520556048506358E-2"/>
    <x v="0"/>
    <x v="4"/>
  </r>
  <r>
    <n v="1601"/>
    <s v="2023-05-16"/>
    <x v="4"/>
    <x v="2"/>
    <n v="4690"/>
    <n v="307"/>
    <x v="1"/>
    <x v="0"/>
    <n v="6.5458422174840089E-2"/>
    <x v="0"/>
    <x v="4"/>
  </r>
  <r>
    <n v="1774"/>
    <s v="2023-05-16"/>
    <x v="0"/>
    <x v="1"/>
    <n v="4774"/>
    <n v="809"/>
    <x v="2"/>
    <x v="1"/>
    <n v="0.16945957268537915"/>
    <x v="0"/>
    <x v="4"/>
  </r>
  <r>
    <n v="1908"/>
    <s v="2023-05-16"/>
    <x v="0"/>
    <x v="2"/>
    <n v="4415"/>
    <n v="1000"/>
    <x v="2"/>
    <x v="0"/>
    <n v="0.22650056625141562"/>
    <x v="0"/>
    <x v="4"/>
  </r>
  <r>
    <n v="1465"/>
    <s v="2023-05-17"/>
    <x v="2"/>
    <x v="0"/>
    <n v="1410"/>
    <n v="543"/>
    <x v="0"/>
    <x v="1"/>
    <n v="0.3851063829787234"/>
    <x v="0"/>
    <x v="4"/>
  </r>
  <r>
    <n v="1526"/>
    <s v="2023-05-17"/>
    <x v="5"/>
    <x v="0"/>
    <n v="4450"/>
    <n v="832"/>
    <x v="3"/>
    <x v="0"/>
    <n v="0.18696629213483146"/>
    <x v="0"/>
    <x v="4"/>
  </r>
  <r>
    <n v="1665"/>
    <s v="2023-05-17"/>
    <x v="4"/>
    <x v="0"/>
    <n v="3420"/>
    <n v="381"/>
    <x v="1"/>
    <x v="1"/>
    <n v="0.11140350877192982"/>
    <x v="0"/>
    <x v="4"/>
  </r>
  <r>
    <n v="1066"/>
    <s v="2023-05-18"/>
    <x v="5"/>
    <x v="0"/>
    <n v="2091"/>
    <n v="747"/>
    <x v="1"/>
    <x v="1"/>
    <n v="0.35724533715925394"/>
    <x v="0"/>
    <x v="4"/>
  </r>
  <r>
    <n v="1069"/>
    <s v="2023-05-18"/>
    <x v="6"/>
    <x v="2"/>
    <n v="1094"/>
    <n v="336"/>
    <x v="1"/>
    <x v="0"/>
    <n v="0.30712979890310788"/>
    <x v="0"/>
    <x v="4"/>
  </r>
  <r>
    <n v="1424"/>
    <s v="2023-05-18"/>
    <x v="2"/>
    <x v="2"/>
    <n v="911"/>
    <n v="486"/>
    <x v="3"/>
    <x v="0"/>
    <n v="0.53347969264544459"/>
    <x v="0"/>
    <x v="4"/>
  </r>
  <r>
    <n v="1457"/>
    <s v="2023-05-18"/>
    <x v="3"/>
    <x v="2"/>
    <n v="1628"/>
    <n v="927"/>
    <x v="3"/>
    <x v="1"/>
    <n v="0.56941031941031939"/>
    <x v="0"/>
    <x v="4"/>
  </r>
  <r>
    <n v="1282"/>
    <s v="2023-05-19"/>
    <x v="4"/>
    <x v="1"/>
    <n v="3933"/>
    <n v="344"/>
    <x v="0"/>
    <x v="0"/>
    <n v="8.7465039410119502E-2"/>
    <x v="0"/>
    <x v="4"/>
  </r>
  <r>
    <n v="1280"/>
    <s v="2023-05-20"/>
    <x v="5"/>
    <x v="0"/>
    <n v="3846"/>
    <n v="185"/>
    <x v="1"/>
    <x v="1"/>
    <n v="4.8101924076963079E-2"/>
    <x v="0"/>
    <x v="4"/>
  </r>
  <r>
    <n v="1538"/>
    <s v="2023-05-20"/>
    <x v="4"/>
    <x v="1"/>
    <n v="2162"/>
    <n v="410"/>
    <x v="0"/>
    <x v="0"/>
    <n v="0.18963922294172064"/>
    <x v="0"/>
    <x v="4"/>
  </r>
  <r>
    <n v="1638"/>
    <s v="2023-05-20"/>
    <x v="4"/>
    <x v="1"/>
    <n v="1124"/>
    <n v="296"/>
    <x v="0"/>
    <x v="0"/>
    <n v="0.26334519572953735"/>
    <x v="0"/>
    <x v="4"/>
  </r>
  <r>
    <n v="1724"/>
    <s v="2023-05-20"/>
    <x v="0"/>
    <x v="0"/>
    <n v="1867"/>
    <n v="682"/>
    <x v="3"/>
    <x v="1"/>
    <n v="0.36529191215854312"/>
    <x v="0"/>
    <x v="4"/>
  </r>
  <r>
    <n v="1004"/>
    <s v="2023-05-21"/>
    <x v="0"/>
    <x v="1"/>
    <n v="4696"/>
    <n v="623"/>
    <x v="2"/>
    <x v="0"/>
    <n v="0.13266609880749575"/>
    <x v="0"/>
    <x v="4"/>
  </r>
  <r>
    <n v="1015"/>
    <s v="2023-05-21"/>
    <x v="0"/>
    <x v="0"/>
    <n v="4534"/>
    <n v="942"/>
    <x v="1"/>
    <x v="0"/>
    <n v="0.20776356418173797"/>
    <x v="0"/>
    <x v="4"/>
  </r>
  <r>
    <n v="1109"/>
    <s v="2023-05-21"/>
    <x v="6"/>
    <x v="2"/>
    <n v="1053"/>
    <n v="417"/>
    <x v="0"/>
    <x v="0"/>
    <n v="0.39601139601139601"/>
    <x v="0"/>
    <x v="4"/>
  </r>
  <r>
    <n v="1254"/>
    <s v="2023-05-21"/>
    <x v="0"/>
    <x v="1"/>
    <n v="1211"/>
    <n v="864"/>
    <x v="0"/>
    <x v="0"/>
    <n v="0.7134599504541701"/>
    <x v="0"/>
    <x v="4"/>
  </r>
  <r>
    <n v="1955"/>
    <s v="2023-05-21"/>
    <x v="4"/>
    <x v="0"/>
    <n v="4236"/>
    <n v="945"/>
    <x v="2"/>
    <x v="0"/>
    <n v="0.22308781869688385"/>
    <x v="0"/>
    <x v="4"/>
  </r>
  <r>
    <n v="1957"/>
    <s v="2023-05-21"/>
    <x v="6"/>
    <x v="0"/>
    <n v="1439"/>
    <n v="950"/>
    <x v="2"/>
    <x v="1"/>
    <n v="0.66018068102849203"/>
    <x v="0"/>
    <x v="4"/>
  </r>
  <r>
    <n v="1292"/>
    <s v="2023-05-22"/>
    <x v="1"/>
    <x v="1"/>
    <n v="232"/>
    <n v="807"/>
    <x v="3"/>
    <x v="0"/>
    <n v="3.478448275862069"/>
    <x v="0"/>
    <x v="4"/>
  </r>
  <r>
    <n v="1988"/>
    <s v="2023-05-23"/>
    <x v="1"/>
    <x v="2"/>
    <n v="2184"/>
    <n v="609"/>
    <x v="3"/>
    <x v="0"/>
    <n v="0.27884615384615385"/>
    <x v="0"/>
    <x v="4"/>
  </r>
  <r>
    <n v="1142"/>
    <s v="2023-05-24"/>
    <x v="4"/>
    <x v="0"/>
    <n v="3774"/>
    <n v="292"/>
    <x v="2"/>
    <x v="1"/>
    <n v="7.7371489136195015E-2"/>
    <x v="0"/>
    <x v="4"/>
  </r>
  <r>
    <n v="1515"/>
    <s v="2023-05-24"/>
    <x v="4"/>
    <x v="0"/>
    <n v="4213"/>
    <n v="220"/>
    <x v="2"/>
    <x v="0"/>
    <n v="5.2219321148825062E-2"/>
    <x v="0"/>
    <x v="4"/>
  </r>
  <r>
    <n v="1544"/>
    <s v="2023-05-24"/>
    <x v="1"/>
    <x v="1"/>
    <n v="4368"/>
    <n v="838"/>
    <x v="3"/>
    <x v="1"/>
    <n v="0.19184981684981686"/>
    <x v="0"/>
    <x v="4"/>
  </r>
  <r>
    <n v="1161"/>
    <s v="2023-05-25"/>
    <x v="6"/>
    <x v="2"/>
    <n v="4017"/>
    <n v="212"/>
    <x v="0"/>
    <x v="0"/>
    <n v="5.2775703261140151E-2"/>
    <x v="0"/>
    <x v="4"/>
  </r>
  <r>
    <n v="1223"/>
    <s v="2023-05-25"/>
    <x v="0"/>
    <x v="1"/>
    <n v="4374"/>
    <n v="800"/>
    <x v="1"/>
    <x v="1"/>
    <n v="0.18289894833104708"/>
    <x v="0"/>
    <x v="4"/>
  </r>
  <r>
    <n v="1378"/>
    <s v="2023-05-25"/>
    <x v="6"/>
    <x v="1"/>
    <n v="694"/>
    <n v="225"/>
    <x v="1"/>
    <x v="1"/>
    <n v="0.32420749279538907"/>
    <x v="0"/>
    <x v="4"/>
  </r>
  <r>
    <n v="1458"/>
    <s v="2023-05-25"/>
    <x v="0"/>
    <x v="2"/>
    <n v="711"/>
    <n v="825"/>
    <x v="2"/>
    <x v="1"/>
    <n v="1.1603375527426161"/>
    <x v="0"/>
    <x v="4"/>
  </r>
  <r>
    <n v="1767"/>
    <s v="2023-05-25"/>
    <x v="2"/>
    <x v="1"/>
    <n v="1094"/>
    <n v="285"/>
    <x v="2"/>
    <x v="0"/>
    <n v="0.26051188299817185"/>
    <x v="0"/>
    <x v="4"/>
  </r>
  <r>
    <n v="1952"/>
    <s v="2023-05-25"/>
    <x v="3"/>
    <x v="2"/>
    <n v="680"/>
    <n v="297"/>
    <x v="3"/>
    <x v="1"/>
    <n v="0.43676470588235294"/>
    <x v="0"/>
    <x v="4"/>
  </r>
  <r>
    <n v="1949"/>
    <s v="2023-05-26"/>
    <x v="5"/>
    <x v="0"/>
    <n v="103"/>
    <n v="719"/>
    <x v="0"/>
    <x v="1"/>
    <n v="6.9805825242718447"/>
    <x v="0"/>
    <x v="4"/>
  </r>
  <r>
    <n v="1198"/>
    <s v="2023-05-28"/>
    <x v="4"/>
    <x v="0"/>
    <n v="1857"/>
    <n v="894"/>
    <x v="2"/>
    <x v="1"/>
    <n v="0.48142164781906299"/>
    <x v="0"/>
    <x v="4"/>
  </r>
  <r>
    <n v="1386"/>
    <s v="2023-05-28"/>
    <x v="6"/>
    <x v="2"/>
    <n v="4409"/>
    <n v="132"/>
    <x v="3"/>
    <x v="0"/>
    <n v="2.993876162395101E-2"/>
    <x v="0"/>
    <x v="4"/>
  </r>
  <r>
    <n v="1414"/>
    <s v="2023-05-28"/>
    <x v="4"/>
    <x v="1"/>
    <n v="2181"/>
    <n v="519"/>
    <x v="3"/>
    <x v="1"/>
    <n v="0.23796423658872076"/>
    <x v="0"/>
    <x v="4"/>
  </r>
  <r>
    <n v="1627"/>
    <s v="2023-05-28"/>
    <x v="3"/>
    <x v="0"/>
    <n v="4023"/>
    <n v="559"/>
    <x v="1"/>
    <x v="0"/>
    <n v="0.13895103156848124"/>
    <x v="0"/>
    <x v="4"/>
  </r>
  <r>
    <n v="1726"/>
    <s v="2023-05-28"/>
    <x v="0"/>
    <x v="2"/>
    <n v="2986"/>
    <n v="281"/>
    <x v="2"/>
    <x v="1"/>
    <n v="9.4105827193569996E-2"/>
    <x v="0"/>
    <x v="4"/>
  </r>
  <r>
    <n v="1986"/>
    <s v="2023-05-28"/>
    <x v="4"/>
    <x v="1"/>
    <n v="2635"/>
    <n v="111"/>
    <x v="1"/>
    <x v="0"/>
    <n v="4.2125237191650851E-2"/>
    <x v="0"/>
    <x v="4"/>
  </r>
  <r>
    <n v="1118"/>
    <s v="2023-05-29"/>
    <x v="4"/>
    <x v="2"/>
    <n v="4535"/>
    <n v="164"/>
    <x v="0"/>
    <x v="0"/>
    <n v="3.6163175303197355E-2"/>
    <x v="0"/>
    <x v="4"/>
  </r>
  <r>
    <n v="1875"/>
    <s v="2023-05-29"/>
    <x v="1"/>
    <x v="2"/>
    <n v="4065"/>
    <n v="518"/>
    <x v="3"/>
    <x v="1"/>
    <n v="0.12742927429274292"/>
    <x v="0"/>
    <x v="4"/>
  </r>
  <r>
    <n v="1983"/>
    <s v="2023-05-29"/>
    <x v="1"/>
    <x v="1"/>
    <n v="4476"/>
    <n v="358"/>
    <x v="0"/>
    <x v="0"/>
    <n v="7.9982126899016973E-2"/>
    <x v="0"/>
    <x v="4"/>
  </r>
  <r>
    <n v="1732"/>
    <s v="2023-05-30"/>
    <x v="0"/>
    <x v="0"/>
    <n v="920"/>
    <n v="875"/>
    <x v="1"/>
    <x v="1"/>
    <n v="0.95108695652173914"/>
    <x v="0"/>
    <x v="4"/>
  </r>
  <r>
    <n v="1925"/>
    <s v="2023-05-30"/>
    <x v="3"/>
    <x v="0"/>
    <n v="3788"/>
    <n v="537"/>
    <x v="2"/>
    <x v="0"/>
    <n v="0.14176346356916578"/>
    <x v="0"/>
    <x v="4"/>
  </r>
  <r>
    <n v="1403"/>
    <s v="2023-05-31"/>
    <x v="5"/>
    <x v="0"/>
    <n v="628"/>
    <n v="20"/>
    <x v="1"/>
    <x v="0"/>
    <n v="3.1847133757961783E-2"/>
    <x v="0"/>
    <x v="4"/>
  </r>
  <r>
    <n v="1730"/>
    <s v="2023-05-31"/>
    <x v="1"/>
    <x v="2"/>
    <n v="4589"/>
    <n v="299"/>
    <x v="3"/>
    <x v="1"/>
    <n v="6.5155807365439092E-2"/>
    <x v="0"/>
    <x v="4"/>
  </r>
  <r>
    <n v="1995"/>
    <s v="2023-05-31"/>
    <x v="6"/>
    <x v="0"/>
    <n v="438"/>
    <n v="558"/>
    <x v="0"/>
    <x v="0"/>
    <n v="1.273972602739726"/>
    <x v="0"/>
    <x v="4"/>
  </r>
  <r>
    <n v="1106"/>
    <s v="2023-06-01"/>
    <x v="5"/>
    <x v="2"/>
    <n v="1270"/>
    <n v="130"/>
    <x v="2"/>
    <x v="0"/>
    <n v="0.10236220472440945"/>
    <x v="0"/>
    <x v="5"/>
  </r>
  <r>
    <n v="1337"/>
    <s v="2023-06-01"/>
    <x v="5"/>
    <x v="0"/>
    <n v="3230"/>
    <n v="272"/>
    <x v="2"/>
    <x v="0"/>
    <n v="8.4210526315789472E-2"/>
    <x v="0"/>
    <x v="5"/>
  </r>
  <r>
    <n v="1781"/>
    <s v="2023-06-01"/>
    <x v="6"/>
    <x v="0"/>
    <n v="1541"/>
    <n v="937"/>
    <x v="0"/>
    <x v="1"/>
    <n v="0.60804672290720307"/>
    <x v="0"/>
    <x v="5"/>
  </r>
  <r>
    <n v="1882"/>
    <s v="2023-06-01"/>
    <x v="2"/>
    <x v="1"/>
    <n v="2202"/>
    <n v="44"/>
    <x v="1"/>
    <x v="1"/>
    <n v="1.9981834695731154E-2"/>
    <x v="0"/>
    <x v="5"/>
  </r>
  <r>
    <n v="1994"/>
    <s v="2023-06-01"/>
    <x v="0"/>
    <x v="1"/>
    <n v="135"/>
    <n v="779"/>
    <x v="1"/>
    <x v="0"/>
    <n v="5.7703703703703706"/>
    <x v="0"/>
    <x v="5"/>
  </r>
  <r>
    <n v="1176"/>
    <s v="2023-06-02"/>
    <x v="6"/>
    <x v="2"/>
    <n v="4173"/>
    <n v="648"/>
    <x v="3"/>
    <x v="1"/>
    <n v="0.1552839683680805"/>
    <x v="0"/>
    <x v="5"/>
  </r>
  <r>
    <n v="1258"/>
    <s v="2023-06-02"/>
    <x v="0"/>
    <x v="2"/>
    <n v="2059"/>
    <n v="109"/>
    <x v="2"/>
    <x v="1"/>
    <n v="5.2938319572608063E-2"/>
    <x v="0"/>
    <x v="5"/>
  </r>
  <r>
    <n v="1420"/>
    <s v="2023-06-02"/>
    <x v="1"/>
    <x v="2"/>
    <n v="4241"/>
    <n v="80"/>
    <x v="2"/>
    <x v="1"/>
    <n v="1.8863475595378449E-2"/>
    <x v="0"/>
    <x v="5"/>
  </r>
  <r>
    <n v="1582"/>
    <s v="2023-06-02"/>
    <x v="3"/>
    <x v="1"/>
    <n v="4636"/>
    <n v="258"/>
    <x v="3"/>
    <x v="1"/>
    <n v="5.565142364106989E-2"/>
    <x v="0"/>
    <x v="5"/>
  </r>
  <r>
    <n v="1866"/>
    <s v="2023-06-02"/>
    <x v="3"/>
    <x v="2"/>
    <n v="4807"/>
    <n v="409"/>
    <x v="1"/>
    <x v="1"/>
    <n v="8.5084252132307053E-2"/>
    <x v="0"/>
    <x v="5"/>
  </r>
  <r>
    <n v="1327"/>
    <s v="2023-06-03"/>
    <x v="0"/>
    <x v="2"/>
    <n v="937"/>
    <n v="104"/>
    <x v="3"/>
    <x v="0"/>
    <n v="0.11099252934898612"/>
    <x v="0"/>
    <x v="5"/>
  </r>
  <r>
    <n v="1579"/>
    <s v="2023-06-04"/>
    <x v="4"/>
    <x v="1"/>
    <n v="2936"/>
    <n v="74"/>
    <x v="3"/>
    <x v="1"/>
    <n v="2.5204359673024524E-2"/>
    <x v="0"/>
    <x v="5"/>
  </r>
  <r>
    <n v="1809"/>
    <s v="2023-06-05"/>
    <x v="6"/>
    <x v="1"/>
    <n v="883"/>
    <n v="203"/>
    <x v="1"/>
    <x v="0"/>
    <n v="0.22989807474518686"/>
    <x v="0"/>
    <x v="5"/>
  </r>
  <r>
    <n v="1888"/>
    <s v="2023-06-05"/>
    <x v="3"/>
    <x v="1"/>
    <n v="2029"/>
    <n v="714"/>
    <x v="1"/>
    <x v="0"/>
    <n v="0.35189748644652541"/>
    <x v="0"/>
    <x v="5"/>
  </r>
  <r>
    <n v="1569"/>
    <s v="2023-06-06"/>
    <x v="1"/>
    <x v="0"/>
    <n v="2294"/>
    <n v="295"/>
    <x v="3"/>
    <x v="1"/>
    <n v="0.12859633827375763"/>
    <x v="0"/>
    <x v="5"/>
  </r>
  <r>
    <n v="1847"/>
    <s v="2023-06-06"/>
    <x v="2"/>
    <x v="1"/>
    <n v="2194"/>
    <n v="203"/>
    <x v="2"/>
    <x v="1"/>
    <n v="9.2525068368277119E-2"/>
    <x v="0"/>
    <x v="5"/>
  </r>
  <r>
    <n v="1900"/>
    <s v="2023-06-06"/>
    <x v="1"/>
    <x v="1"/>
    <n v="651"/>
    <n v="701"/>
    <x v="0"/>
    <x v="1"/>
    <n v="1.0768049155145929"/>
    <x v="0"/>
    <x v="5"/>
  </r>
  <r>
    <n v="1491"/>
    <s v="2023-06-07"/>
    <x v="3"/>
    <x v="2"/>
    <n v="2852"/>
    <n v="513"/>
    <x v="2"/>
    <x v="1"/>
    <n v="0.17987377279102384"/>
    <x v="0"/>
    <x v="5"/>
  </r>
  <r>
    <n v="1748"/>
    <s v="2023-06-07"/>
    <x v="6"/>
    <x v="0"/>
    <n v="3029"/>
    <n v="228"/>
    <x v="1"/>
    <x v="1"/>
    <n v="7.5272367117860686E-2"/>
    <x v="0"/>
    <x v="5"/>
  </r>
  <r>
    <n v="1902"/>
    <s v="2023-06-08"/>
    <x v="6"/>
    <x v="1"/>
    <n v="2241"/>
    <n v="95"/>
    <x v="0"/>
    <x v="1"/>
    <n v="4.2391789379741189E-2"/>
    <x v="0"/>
    <x v="5"/>
  </r>
  <r>
    <n v="1139"/>
    <s v="2023-06-09"/>
    <x v="6"/>
    <x v="2"/>
    <n v="860"/>
    <n v="735"/>
    <x v="3"/>
    <x v="0"/>
    <n v="0.85465116279069764"/>
    <x v="0"/>
    <x v="5"/>
  </r>
  <r>
    <n v="1392"/>
    <s v="2023-06-09"/>
    <x v="0"/>
    <x v="0"/>
    <n v="4930"/>
    <n v="619"/>
    <x v="0"/>
    <x v="0"/>
    <n v="0.12555780933062879"/>
    <x v="0"/>
    <x v="5"/>
  </r>
  <r>
    <n v="1793"/>
    <s v="2023-06-09"/>
    <x v="2"/>
    <x v="1"/>
    <n v="4597"/>
    <n v="520"/>
    <x v="2"/>
    <x v="1"/>
    <n v="0.11311725038068306"/>
    <x v="0"/>
    <x v="5"/>
  </r>
  <r>
    <n v="1940"/>
    <s v="2023-06-10"/>
    <x v="1"/>
    <x v="2"/>
    <n v="1818"/>
    <n v="173"/>
    <x v="3"/>
    <x v="0"/>
    <n v="9.5159515951595164E-2"/>
    <x v="0"/>
    <x v="5"/>
  </r>
  <r>
    <n v="1269"/>
    <s v="2023-06-11"/>
    <x v="1"/>
    <x v="0"/>
    <n v="4364"/>
    <n v="33"/>
    <x v="3"/>
    <x v="0"/>
    <n v="7.5618698441796521E-3"/>
    <x v="0"/>
    <x v="5"/>
  </r>
  <r>
    <n v="1731"/>
    <s v="2023-06-13"/>
    <x v="4"/>
    <x v="2"/>
    <n v="969"/>
    <n v="545"/>
    <x v="3"/>
    <x v="0"/>
    <n v="0.56243550051599589"/>
    <x v="0"/>
    <x v="5"/>
  </r>
  <r>
    <n v="1942"/>
    <s v="2023-06-13"/>
    <x v="0"/>
    <x v="1"/>
    <n v="3221"/>
    <n v="994"/>
    <x v="2"/>
    <x v="1"/>
    <n v="0.30859981372244644"/>
    <x v="0"/>
    <x v="5"/>
  </r>
  <r>
    <n v="1520"/>
    <s v="2023-06-14"/>
    <x v="3"/>
    <x v="1"/>
    <n v="137"/>
    <n v="143"/>
    <x v="3"/>
    <x v="1"/>
    <n v="1.0437956204379562"/>
    <x v="0"/>
    <x v="5"/>
  </r>
  <r>
    <n v="1854"/>
    <s v="2023-06-14"/>
    <x v="5"/>
    <x v="2"/>
    <n v="568"/>
    <n v="137"/>
    <x v="1"/>
    <x v="1"/>
    <n v="0.24119718309859156"/>
    <x v="0"/>
    <x v="5"/>
  </r>
  <r>
    <n v="1630"/>
    <s v="2023-06-15"/>
    <x v="1"/>
    <x v="1"/>
    <n v="1290"/>
    <n v="813"/>
    <x v="0"/>
    <x v="1"/>
    <n v="0.63023255813953494"/>
    <x v="0"/>
    <x v="5"/>
  </r>
  <r>
    <n v="1136"/>
    <s v="2023-06-16"/>
    <x v="2"/>
    <x v="2"/>
    <n v="1288"/>
    <n v="576"/>
    <x v="0"/>
    <x v="1"/>
    <n v="0.44720496894409939"/>
    <x v="0"/>
    <x v="5"/>
  </r>
  <r>
    <n v="1320"/>
    <s v="2023-06-16"/>
    <x v="4"/>
    <x v="2"/>
    <n v="3536"/>
    <n v="456"/>
    <x v="2"/>
    <x v="1"/>
    <n v="0.12895927601809956"/>
    <x v="0"/>
    <x v="5"/>
  </r>
  <r>
    <n v="1605"/>
    <s v="2023-06-16"/>
    <x v="0"/>
    <x v="0"/>
    <n v="965"/>
    <n v="482"/>
    <x v="1"/>
    <x v="1"/>
    <n v="0.49948186528497407"/>
    <x v="0"/>
    <x v="5"/>
  </r>
  <r>
    <n v="1783"/>
    <s v="2023-06-16"/>
    <x v="2"/>
    <x v="1"/>
    <n v="4021"/>
    <n v="594"/>
    <x v="1"/>
    <x v="1"/>
    <n v="0.14772444665506093"/>
    <x v="0"/>
    <x v="5"/>
  </r>
  <r>
    <n v="1021"/>
    <s v="2023-06-17"/>
    <x v="1"/>
    <x v="0"/>
    <n v="3467"/>
    <n v="660"/>
    <x v="2"/>
    <x v="1"/>
    <n v="0.19036631093164119"/>
    <x v="0"/>
    <x v="5"/>
  </r>
  <r>
    <n v="1008"/>
    <s v="2023-06-18"/>
    <x v="2"/>
    <x v="2"/>
    <n v="1560"/>
    <n v="542"/>
    <x v="3"/>
    <x v="1"/>
    <n v="0.34743589743589742"/>
    <x v="0"/>
    <x v="5"/>
  </r>
  <r>
    <n v="1801"/>
    <s v="2023-06-18"/>
    <x v="3"/>
    <x v="0"/>
    <n v="2070"/>
    <n v="781"/>
    <x v="1"/>
    <x v="0"/>
    <n v="0.37729468599033816"/>
    <x v="0"/>
    <x v="5"/>
  </r>
  <r>
    <n v="1808"/>
    <s v="2023-06-18"/>
    <x v="3"/>
    <x v="1"/>
    <n v="2808"/>
    <n v="337"/>
    <x v="0"/>
    <x v="0"/>
    <n v="0.12001424501424501"/>
    <x v="0"/>
    <x v="5"/>
  </r>
  <r>
    <n v="1964"/>
    <s v="2023-06-18"/>
    <x v="2"/>
    <x v="0"/>
    <n v="4314"/>
    <n v="321"/>
    <x v="1"/>
    <x v="0"/>
    <n v="7.4408901251738532E-2"/>
    <x v="0"/>
    <x v="5"/>
  </r>
  <r>
    <n v="1981"/>
    <s v="2023-06-18"/>
    <x v="3"/>
    <x v="0"/>
    <n v="3221"/>
    <n v="867"/>
    <x v="1"/>
    <x v="0"/>
    <n v="0.26917106488668113"/>
    <x v="0"/>
    <x v="5"/>
  </r>
  <r>
    <n v="1220"/>
    <s v="2023-06-19"/>
    <x v="3"/>
    <x v="1"/>
    <n v="697"/>
    <n v="65"/>
    <x v="0"/>
    <x v="0"/>
    <n v="9.3256814921090392E-2"/>
    <x v="0"/>
    <x v="5"/>
  </r>
  <r>
    <n v="1358"/>
    <s v="2023-06-19"/>
    <x v="3"/>
    <x v="1"/>
    <n v="4400"/>
    <n v="594"/>
    <x v="2"/>
    <x v="0"/>
    <n v="0.13500000000000001"/>
    <x v="0"/>
    <x v="5"/>
  </r>
  <r>
    <n v="1946"/>
    <s v="2023-06-19"/>
    <x v="4"/>
    <x v="2"/>
    <n v="1511"/>
    <n v="937"/>
    <x v="2"/>
    <x v="0"/>
    <n v="0.62011912640635336"/>
    <x v="0"/>
    <x v="5"/>
  </r>
  <r>
    <n v="1328"/>
    <s v="2023-06-20"/>
    <x v="0"/>
    <x v="0"/>
    <n v="1371"/>
    <n v="753"/>
    <x v="3"/>
    <x v="0"/>
    <n v="0.5492341356673961"/>
    <x v="0"/>
    <x v="5"/>
  </r>
  <r>
    <n v="1324"/>
    <s v="2023-06-21"/>
    <x v="4"/>
    <x v="0"/>
    <n v="710"/>
    <n v="731"/>
    <x v="0"/>
    <x v="1"/>
    <n v="1.0295774647887324"/>
    <x v="0"/>
    <x v="5"/>
  </r>
  <r>
    <n v="1043"/>
    <s v="2023-06-22"/>
    <x v="3"/>
    <x v="0"/>
    <n v="734"/>
    <n v="149"/>
    <x v="1"/>
    <x v="0"/>
    <n v="0.20299727520435967"/>
    <x v="0"/>
    <x v="5"/>
  </r>
  <r>
    <n v="1083"/>
    <s v="2023-06-22"/>
    <x v="4"/>
    <x v="0"/>
    <n v="963"/>
    <n v="963"/>
    <x v="2"/>
    <x v="1"/>
    <n v="1"/>
    <x v="0"/>
    <x v="5"/>
  </r>
  <r>
    <n v="1504"/>
    <s v="2023-06-22"/>
    <x v="6"/>
    <x v="1"/>
    <n v="3923"/>
    <n v="558"/>
    <x v="2"/>
    <x v="0"/>
    <n v="0.14223808309966862"/>
    <x v="0"/>
    <x v="5"/>
  </r>
  <r>
    <n v="1609"/>
    <s v="2023-06-22"/>
    <x v="5"/>
    <x v="2"/>
    <n v="2870"/>
    <n v="276"/>
    <x v="0"/>
    <x v="0"/>
    <n v="9.616724738675958E-2"/>
    <x v="0"/>
    <x v="5"/>
  </r>
  <r>
    <n v="1459"/>
    <s v="2023-06-23"/>
    <x v="1"/>
    <x v="2"/>
    <n v="2851"/>
    <n v="955"/>
    <x v="1"/>
    <x v="0"/>
    <n v="0.3349701858996843"/>
    <x v="0"/>
    <x v="5"/>
  </r>
  <r>
    <n v="1917"/>
    <s v="2023-06-23"/>
    <x v="5"/>
    <x v="1"/>
    <n v="1444"/>
    <n v="154"/>
    <x v="3"/>
    <x v="0"/>
    <n v="0.10664819944598337"/>
    <x v="0"/>
    <x v="5"/>
  </r>
  <r>
    <n v="1016"/>
    <s v="2023-06-24"/>
    <x v="5"/>
    <x v="1"/>
    <n v="632"/>
    <n v="39"/>
    <x v="2"/>
    <x v="0"/>
    <n v="6.1708860759493674E-2"/>
    <x v="0"/>
    <x v="5"/>
  </r>
  <r>
    <n v="1449"/>
    <s v="2023-06-24"/>
    <x v="1"/>
    <x v="1"/>
    <n v="1967"/>
    <n v="685"/>
    <x v="3"/>
    <x v="1"/>
    <n v="0.34824605998983221"/>
    <x v="0"/>
    <x v="5"/>
  </r>
  <r>
    <n v="1766"/>
    <s v="2023-06-24"/>
    <x v="4"/>
    <x v="1"/>
    <n v="3560"/>
    <n v="310"/>
    <x v="1"/>
    <x v="0"/>
    <n v="8.7078651685393263E-2"/>
    <x v="0"/>
    <x v="5"/>
  </r>
  <r>
    <n v="1951"/>
    <s v="2023-06-24"/>
    <x v="6"/>
    <x v="2"/>
    <n v="4959"/>
    <n v="574"/>
    <x v="3"/>
    <x v="1"/>
    <n v="0.11574914297237346"/>
    <x v="0"/>
    <x v="5"/>
  </r>
  <r>
    <n v="1210"/>
    <s v="2023-06-25"/>
    <x v="3"/>
    <x v="0"/>
    <n v="2902"/>
    <n v="736"/>
    <x v="2"/>
    <x v="0"/>
    <n v="0.25361819434872501"/>
    <x v="0"/>
    <x v="5"/>
  </r>
  <r>
    <n v="1399"/>
    <s v="2023-06-25"/>
    <x v="3"/>
    <x v="0"/>
    <n v="3401"/>
    <n v="567"/>
    <x v="2"/>
    <x v="1"/>
    <n v="0.1667156718612173"/>
    <x v="0"/>
    <x v="5"/>
  </r>
  <r>
    <n v="1587"/>
    <s v="2023-06-25"/>
    <x v="2"/>
    <x v="2"/>
    <n v="4795"/>
    <n v="317"/>
    <x v="3"/>
    <x v="0"/>
    <n v="6.6110531803962466E-2"/>
    <x v="0"/>
    <x v="5"/>
  </r>
  <r>
    <n v="1974"/>
    <s v="2023-06-26"/>
    <x v="5"/>
    <x v="0"/>
    <n v="4722"/>
    <n v="335"/>
    <x v="0"/>
    <x v="1"/>
    <n v="7.0944515036001687E-2"/>
    <x v="0"/>
    <x v="5"/>
  </r>
  <r>
    <n v="1982"/>
    <s v="2023-06-26"/>
    <x v="1"/>
    <x v="1"/>
    <n v="592"/>
    <n v="254"/>
    <x v="0"/>
    <x v="0"/>
    <n v="0.42905405405405406"/>
    <x v="0"/>
    <x v="5"/>
  </r>
  <r>
    <n v="1215"/>
    <s v="2023-06-27"/>
    <x v="2"/>
    <x v="0"/>
    <n v="1854"/>
    <n v="169"/>
    <x v="1"/>
    <x v="1"/>
    <n v="9.1154261057173683E-2"/>
    <x v="0"/>
    <x v="5"/>
  </r>
  <r>
    <n v="1250"/>
    <s v="2023-06-27"/>
    <x v="4"/>
    <x v="0"/>
    <n v="2050"/>
    <n v="335"/>
    <x v="1"/>
    <x v="1"/>
    <n v="0.16341463414634147"/>
    <x v="0"/>
    <x v="5"/>
  </r>
  <r>
    <n v="1059"/>
    <s v="2023-06-28"/>
    <x v="3"/>
    <x v="2"/>
    <n v="757"/>
    <n v="58"/>
    <x v="2"/>
    <x v="1"/>
    <n v="7.6618229854689565E-2"/>
    <x v="0"/>
    <x v="5"/>
  </r>
  <r>
    <n v="1087"/>
    <s v="2023-06-28"/>
    <x v="0"/>
    <x v="2"/>
    <n v="1010"/>
    <n v="853"/>
    <x v="2"/>
    <x v="0"/>
    <n v="0.84455445544554453"/>
    <x v="0"/>
    <x v="5"/>
  </r>
  <r>
    <n v="1162"/>
    <s v="2023-06-28"/>
    <x v="1"/>
    <x v="0"/>
    <n v="1241"/>
    <n v="415"/>
    <x v="2"/>
    <x v="0"/>
    <n v="0.33440773569701854"/>
    <x v="0"/>
    <x v="5"/>
  </r>
  <r>
    <n v="1939"/>
    <s v="2023-06-28"/>
    <x v="6"/>
    <x v="0"/>
    <n v="2305"/>
    <n v="49"/>
    <x v="2"/>
    <x v="0"/>
    <n v="2.1258134490238612E-2"/>
    <x v="0"/>
    <x v="5"/>
  </r>
  <r>
    <n v="1061"/>
    <s v="2023-06-29"/>
    <x v="4"/>
    <x v="0"/>
    <n v="2352"/>
    <n v="556"/>
    <x v="2"/>
    <x v="1"/>
    <n v="0.23639455782312926"/>
    <x v="0"/>
    <x v="5"/>
  </r>
  <r>
    <n v="1361"/>
    <s v="2023-06-29"/>
    <x v="3"/>
    <x v="0"/>
    <n v="2154"/>
    <n v="767"/>
    <x v="2"/>
    <x v="0"/>
    <n v="0.35608170844939646"/>
    <x v="0"/>
    <x v="5"/>
  </r>
  <r>
    <n v="1509"/>
    <s v="2023-06-29"/>
    <x v="0"/>
    <x v="2"/>
    <n v="4967"/>
    <n v="678"/>
    <x v="1"/>
    <x v="1"/>
    <n v="0.13650090597946446"/>
    <x v="0"/>
    <x v="5"/>
  </r>
  <r>
    <n v="1663"/>
    <s v="2023-06-29"/>
    <x v="1"/>
    <x v="1"/>
    <n v="2120"/>
    <n v="593"/>
    <x v="2"/>
    <x v="0"/>
    <n v="0.27971698113207549"/>
    <x v="0"/>
    <x v="5"/>
  </r>
  <r>
    <n v="1076"/>
    <s v="2023-06-30"/>
    <x v="1"/>
    <x v="1"/>
    <n v="3064"/>
    <n v="573"/>
    <x v="0"/>
    <x v="1"/>
    <n v="0.18701044386422977"/>
    <x v="0"/>
    <x v="5"/>
  </r>
  <r>
    <n v="1129"/>
    <s v="2023-06-30"/>
    <x v="3"/>
    <x v="0"/>
    <n v="3631"/>
    <n v="328"/>
    <x v="1"/>
    <x v="1"/>
    <n v="9.0333241531258601E-2"/>
    <x v="0"/>
    <x v="5"/>
  </r>
  <r>
    <n v="1390"/>
    <s v="2023-06-30"/>
    <x v="4"/>
    <x v="0"/>
    <n v="4568"/>
    <n v="202"/>
    <x v="3"/>
    <x v="0"/>
    <n v="4.4220665499124345E-2"/>
    <x v="0"/>
    <x v="5"/>
  </r>
  <r>
    <n v="1547"/>
    <s v="2023-06-30"/>
    <x v="1"/>
    <x v="1"/>
    <n v="2629"/>
    <n v="396"/>
    <x v="2"/>
    <x v="1"/>
    <n v="0.15062761506276151"/>
    <x v="0"/>
    <x v="5"/>
  </r>
  <r>
    <n v="1612"/>
    <s v="2023-06-30"/>
    <x v="6"/>
    <x v="2"/>
    <n v="3498"/>
    <n v="398"/>
    <x v="2"/>
    <x v="1"/>
    <n v="0.11377930245854774"/>
    <x v="0"/>
    <x v="5"/>
  </r>
  <r>
    <n v="1571"/>
    <s v="2023-07-01"/>
    <x v="2"/>
    <x v="1"/>
    <n v="1679"/>
    <n v="819"/>
    <x v="1"/>
    <x v="0"/>
    <n v="0.48779035139964266"/>
    <x v="0"/>
    <x v="6"/>
  </r>
  <r>
    <n v="1186"/>
    <s v="2023-07-02"/>
    <x v="5"/>
    <x v="2"/>
    <n v="2436"/>
    <n v="99"/>
    <x v="3"/>
    <x v="0"/>
    <n v="4.064039408866995E-2"/>
    <x v="0"/>
    <x v="6"/>
  </r>
  <r>
    <n v="1578"/>
    <s v="2023-07-02"/>
    <x v="1"/>
    <x v="1"/>
    <n v="1276"/>
    <n v="837"/>
    <x v="3"/>
    <x v="0"/>
    <n v="0.65595611285266453"/>
    <x v="0"/>
    <x v="6"/>
  </r>
  <r>
    <n v="1987"/>
    <s v="2023-07-02"/>
    <x v="4"/>
    <x v="2"/>
    <n v="4012"/>
    <n v="403"/>
    <x v="0"/>
    <x v="0"/>
    <n v="0.10044865403788635"/>
    <x v="0"/>
    <x v="6"/>
  </r>
  <r>
    <n v="1151"/>
    <s v="2023-07-03"/>
    <x v="1"/>
    <x v="1"/>
    <n v="3924"/>
    <n v="311"/>
    <x v="0"/>
    <x v="0"/>
    <n v="7.9255861365953112E-2"/>
    <x v="0"/>
    <x v="6"/>
  </r>
  <r>
    <n v="1287"/>
    <s v="2023-07-03"/>
    <x v="3"/>
    <x v="0"/>
    <n v="3728"/>
    <n v="875"/>
    <x v="2"/>
    <x v="1"/>
    <n v="0.23471030042918456"/>
    <x v="0"/>
    <x v="6"/>
  </r>
  <r>
    <n v="1519"/>
    <s v="2023-07-03"/>
    <x v="5"/>
    <x v="2"/>
    <n v="4538"/>
    <n v="103"/>
    <x v="1"/>
    <x v="1"/>
    <n v="2.2697223446452183E-2"/>
    <x v="0"/>
    <x v="6"/>
  </r>
  <r>
    <n v="1897"/>
    <s v="2023-07-03"/>
    <x v="2"/>
    <x v="2"/>
    <n v="1883"/>
    <n v="600"/>
    <x v="2"/>
    <x v="1"/>
    <n v="0.31864046733935208"/>
    <x v="0"/>
    <x v="6"/>
  </r>
  <r>
    <n v="1126"/>
    <s v="2023-07-04"/>
    <x v="1"/>
    <x v="1"/>
    <n v="1864"/>
    <n v="901"/>
    <x v="2"/>
    <x v="1"/>
    <n v="0.48336909871244638"/>
    <x v="0"/>
    <x v="6"/>
  </r>
  <r>
    <n v="1217"/>
    <s v="2023-07-04"/>
    <x v="5"/>
    <x v="0"/>
    <n v="1704"/>
    <n v="29"/>
    <x v="2"/>
    <x v="1"/>
    <n v="1.7018779342723004E-2"/>
    <x v="0"/>
    <x v="6"/>
  </r>
  <r>
    <n v="1754"/>
    <s v="2023-07-04"/>
    <x v="0"/>
    <x v="0"/>
    <n v="4226"/>
    <n v="783"/>
    <x v="0"/>
    <x v="0"/>
    <n v="0.18528159015617604"/>
    <x v="0"/>
    <x v="6"/>
  </r>
  <r>
    <n v="1379"/>
    <s v="2023-07-05"/>
    <x v="3"/>
    <x v="0"/>
    <n v="3900"/>
    <n v="443"/>
    <x v="1"/>
    <x v="1"/>
    <n v="0.11358974358974359"/>
    <x v="0"/>
    <x v="6"/>
  </r>
  <r>
    <n v="1658"/>
    <s v="2023-07-05"/>
    <x v="1"/>
    <x v="1"/>
    <n v="4080"/>
    <n v="693"/>
    <x v="3"/>
    <x v="0"/>
    <n v="0.1698529411764706"/>
    <x v="0"/>
    <x v="6"/>
  </r>
  <r>
    <n v="1794"/>
    <s v="2023-07-05"/>
    <x v="5"/>
    <x v="1"/>
    <n v="4163"/>
    <n v="790"/>
    <x v="1"/>
    <x v="1"/>
    <n v="0.1897669949555609"/>
    <x v="0"/>
    <x v="6"/>
  </r>
  <r>
    <n v="1841"/>
    <s v="2023-07-05"/>
    <x v="4"/>
    <x v="1"/>
    <n v="2808"/>
    <n v="654"/>
    <x v="1"/>
    <x v="0"/>
    <n v="0.23290598290598291"/>
    <x v="0"/>
    <x v="6"/>
  </r>
  <r>
    <n v="1914"/>
    <s v="2023-07-05"/>
    <x v="3"/>
    <x v="0"/>
    <n v="186"/>
    <n v="455"/>
    <x v="3"/>
    <x v="1"/>
    <n v="2.446236559139785"/>
    <x v="0"/>
    <x v="6"/>
  </r>
  <r>
    <n v="1999"/>
    <s v="2023-07-05"/>
    <x v="6"/>
    <x v="0"/>
    <n v="1688"/>
    <n v="962"/>
    <x v="2"/>
    <x v="0"/>
    <n v="0.56990521327014221"/>
    <x v="0"/>
    <x v="6"/>
  </r>
  <r>
    <n v="1668"/>
    <s v="2023-07-06"/>
    <x v="4"/>
    <x v="1"/>
    <n v="855"/>
    <n v="460"/>
    <x v="3"/>
    <x v="1"/>
    <n v="0.53801169590643272"/>
    <x v="0"/>
    <x v="6"/>
  </r>
  <r>
    <n v="1178"/>
    <s v="2023-07-07"/>
    <x v="3"/>
    <x v="0"/>
    <n v="670"/>
    <n v="643"/>
    <x v="2"/>
    <x v="0"/>
    <n v="0.95970149253731341"/>
    <x v="0"/>
    <x v="6"/>
  </r>
  <r>
    <n v="1824"/>
    <s v="2023-07-07"/>
    <x v="6"/>
    <x v="1"/>
    <n v="2567"/>
    <n v="112"/>
    <x v="3"/>
    <x v="1"/>
    <n v="4.3630697312037399E-2"/>
    <x v="0"/>
    <x v="6"/>
  </r>
  <r>
    <n v="1049"/>
    <s v="2023-07-08"/>
    <x v="4"/>
    <x v="2"/>
    <n v="1553"/>
    <n v="922"/>
    <x v="0"/>
    <x v="0"/>
    <n v="0.59368963296844812"/>
    <x v="0"/>
    <x v="6"/>
  </r>
  <r>
    <n v="1051"/>
    <s v="2023-07-09"/>
    <x v="4"/>
    <x v="0"/>
    <n v="4672"/>
    <n v="239"/>
    <x v="3"/>
    <x v="1"/>
    <n v="5.1155821917808222E-2"/>
    <x v="0"/>
    <x v="6"/>
  </r>
  <r>
    <n v="1081"/>
    <s v="2023-07-09"/>
    <x v="3"/>
    <x v="2"/>
    <n v="2482"/>
    <n v="593"/>
    <x v="0"/>
    <x v="0"/>
    <n v="0.23892022562449639"/>
    <x v="0"/>
    <x v="6"/>
  </r>
  <r>
    <n v="1354"/>
    <s v="2023-07-09"/>
    <x v="4"/>
    <x v="0"/>
    <n v="3489"/>
    <n v="921"/>
    <x v="0"/>
    <x v="1"/>
    <n v="0.26397248495270853"/>
    <x v="0"/>
    <x v="6"/>
  </r>
  <r>
    <n v="1799"/>
    <s v="2023-07-09"/>
    <x v="3"/>
    <x v="2"/>
    <n v="189"/>
    <n v="787"/>
    <x v="0"/>
    <x v="0"/>
    <n v="4.1640211640211637"/>
    <x v="0"/>
    <x v="6"/>
  </r>
  <r>
    <n v="1839"/>
    <s v="2023-07-09"/>
    <x v="0"/>
    <x v="1"/>
    <n v="684"/>
    <n v="966"/>
    <x v="0"/>
    <x v="0"/>
    <n v="1.4122807017543859"/>
    <x v="0"/>
    <x v="6"/>
  </r>
  <r>
    <n v="1868"/>
    <s v="2023-07-09"/>
    <x v="3"/>
    <x v="1"/>
    <n v="3298"/>
    <n v="433"/>
    <x v="2"/>
    <x v="1"/>
    <n v="0.13129169193450577"/>
    <x v="0"/>
    <x v="6"/>
  </r>
  <r>
    <n v="1380"/>
    <s v="2023-07-10"/>
    <x v="5"/>
    <x v="1"/>
    <n v="1412"/>
    <n v="558"/>
    <x v="2"/>
    <x v="0"/>
    <n v="0.39518413597733709"/>
    <x v="0"/>
    <x v="6"/>
  </r>
  <r>
    <n v="1660"/>
    <s v="2023-07-10"/>
    <x v="6"/>
    <x v="2"/>
    <n v="3928"/>
    <n v="55"/>
    <x v="3"/>
    <x v="0"/>
    <n v="1.4002036659877801E-2"/>
    <x v="0"/>
    <x v="6"/>
  </r>
  <r>
    <n v="1124"/>
    <s v="2023-07-11"/>
    <x v="1"/>
    <x v="2"/>
    <n v="1917"/>
    <n v="387"/>
    <x v="2"/>
    <x v="0"/>
    <n v="0.20187793427230047"/>
    <x v="0"/>
    <x v="6"/>
  </r>
  <r>
    <n v="1147"/>
    <s v="2023-07-11"/>
    <x v="3"/>
    <x v="1"/>
    <n v="1854"/>
    <n v="117"/>
    <x v="0"/>
    <x v="1"/>
    <n v="6.3106796116504854E-2"/>
    <x v="0"/>
    <x v="6"/>
  </r>
  <r>
    <n v="1648"/>
    <s v="2023-07-11"/>
    <x v="5"/>
    <x v="1"/>
    <n v="4855"/>
    <n v="187"/>
    <x v="2"/>
    <x v="1"/>
    <n v="3.8516992790937177E-2"/>
    <x v="0"/>
    <x v="6"/>
  </r>
  <r>
    <n v="1913"/>
    <s v="2023-07-11"/>
    <x v="5"/>
    <x v="1"/>
    <n v="1996"/>
    <n v="440"/>
    <x v="2"/>
    <x v="0"/>
    <n v="0.22044088176352705"/>
    <x v="0"/>
    <x v="6"/>
  </r>
  <r>
    <n v="1025"/>
    <s v="2023-07-12"/>
    <x v="5"/>
    <x v="0"/>
    <n v="2103"/>
    <n v="117"/>
    <x v="3"/>
    <x v="0"/>
    <n v="5.5634807417974323E-2"/>
    <x v="0"/>
    <x v="6"/>
  </r>
  <r>
    <n v="1516"/>
    <s v="2023-07-12"/>
    <x v="6"/>
    <x v="0"/>
    <n v="4817"/>
    <n v="317"/>
    <x v="3"/>
    <x v="1"/>
    <n v="6.5808594560930037E-2"/>
    <x v="0"/>
    <x v="6"/>
  </r>
  <r>
    <n v="1014"/>
    <s v="2023-07-13"/>
    <x v="0"/>
    <x v="2"/>
    <n v="966"/>
    <n v="711"/>
    <x v="3"/>
    <x v="1"/>
    <n v="0.7360248447204969"/>
    <x v="0"/>
    <x v="6"/>
  </r>
  <r>
    <n v="1245"/>
    <s v="2023-07-13"/>
    <x v="5"/>
    <x v="1"/>
    <n v="3088"/>
    <n v="242"/>
    <x v="3"/>
    <x v="1"/>
    <n v="7.8367875647668395E-2"/>
    <x v="0"/>
    <x v="6"/>
  </r>
  <r>
    <n v="1334"/>
    <s v="2023-07-13"/>
    <x v="2"/>
    <x v="2"/>
    <n v="1391"/>
    <n v="881"/>
    <x v="3"/>
    <x v="0"/>
    <n v="0.6333572969086988"/>
    <x v="0"/>
    <x v="6"/>
  </r>
  <r>
    <n v="1537"/>
    <s v="2023-07-13"/>
    <x v="0"/>
    <x v="1"/>
    <n v="2834"/>
    <n v="650"/>
    <x v="0"/>
    <x v="0"/>
    <n v="0.22935779816513763"/>
    <x v="0"/>
    <x v="6"/>
  </r>
  <r>
    <n v="1820"/>
    <s v="2023-07-13"/>
    <x v="5"/>
    <x v="1"/>
    <n v="631"/>
    <n v="642"/>
    <x v="3"/>
    <x v="0"/>
    <n v="1.0174326465927099"/>
    <x v="0"/>
    <x v="6"/>
  </r>
  <r>
    <n v="1938"/>
    <s v="2023-07-13"/>
    <x v="5"/>
    <x v="2"/>
    <n v="4874"/>
    <n v="679"/>
    <x v="0"/>
    <x v="1"/>
    <n v="0.13931062782109149"/>
    <x v="0"/>
    <x v="6"/>
  </r>
  <r>
    <n v="1164"/>
    <s v="2023-07-14"/>
    <x v="1"/>
    <x v="0"/>
    <n v="3785"/>
    <n v="509"/>
    <x v="1"/>
    <x v="0"/>
    <n v="0.13447820343461031"/>
    <x v="0"/>
    <x v="6"/>
  </r>
  <r>
    <n v="1195"/>
    <s v="2023-07-14"/>
    <x v="0"/>
    <x v="0"/>
    <n v="4921"/>
    <n v="900"/>
    <x v="3"/>
    <x v="0"/>
    <n v="0.1828896565738671"/>
    <x v="0"/>
    <x v="6"/>
  </r>
  <r>
    <n v="1610"/>
    <s v="2023-07-14"/>
    <x v="2"/>
    <x v="2"/>
    <n v="3881"/>
    <n v="70"/>
    <x v="0"/>
    <x v="0"/>
    <n v="1.8036588508116465E-2"/>
    <x v="0"/>
    <x v="6"/>
  </r>
  <r>
    <n v="1927"/>
    <s v="2023-07-14"/>
    <x v="6"/>
    <x v="0"/>
    <n v="2655"/>
    <n v="818"/>
    <x v="0"/>
    <x v="1"/>
    <n v="0.30809792843691147"/>
    <x v="0"/>
    <x v="6"/>
  </r>
  <r>
    <n v="1137"/>
    <s v="2023-07-15"/>
    <x v="0"/>
    <x v="2"/>
    <n v="1604"/>
    <n v="236"/>
    <x v="2"/>
    <x v="0"/>
    <n v="0.14713216957605985"/>
    <x v="0"/>
    <x v="6"/>
  </r>
  <r>
    <n v="1219"/>
    <s v="2023-07-15"/>
    <x v="6"/>
    <x v="0"/>
    <n v="4774"/>
    <n v="36"/>
    <x v="3"/>
    <x v="1"/>
    <n v="7.5408462505236699E-3"/>
    <x v="0"/>
    <x v="6"/>
  </r>
  <r>
    <n v="1225"/>
    <s v="2023-07-15"/>
    <x v="6"/>
    <x v="1"/>
    <n v="1960"/>
    <n v="732"/>
    <x v="0"/>
    <x v="0"/>
    <n v="0.37346938775510202"/>
    <x v="0"/>
    <x v="6"/>
  </r>
  <r>
    <n v="1759"/>
    <s v="2023-07-15"/>
    <x v="2"/>
    <x v="1"/>
    <n v="1448"/>
    <n v="1000"/>
    <x v="3"/>
    <x v="1"/>
    <n v="0.69060773480662985"/>
    <x v="0"/>
    <x v="6"/>
  </r>
  <r>
    <n v="1666"/>
    <s v="2023-07-16"/>
    <x v="6"/>
    <x v="1"/>
    <n v="1391"/>
    <n v="531"/>
    <x v="3"/>
    <x v="0"/>
    <n v="0.38173975557153128"/>
    <x v="0"/>
    <x v="6"/>
  </r>
  <r>
    <n v="1584"/>
    <s v="2023-07-17"/>
    <x v="3"/>
    <x v="0"/>
    <n v="4565"/>
    <n v="266"/>
    <x v="1"/>
    <x v="0"/>
    <n v="5.8269441401971524E-2"/>
    <x v="0"/>
    <x v="6"/>
  </r>
  <r>
    <n v="1954"/>
    <s v="2023-07-17"/>
    <x v="1"/>
    <x v="2"/>
    <n v="1739"/>
    <n v="510"/>
    <x v="1"/>
    <x v="1"/>
    <n v="0.29327199539965498"/>
    <x v="0"/>
    <x v="6"/>
  </r>
  <r>
    <n v="1134"/>
    <s v="2023-07-18"/>
    <x v="0"/>
    <x v="1"/>
    <n v="4420"/>
    <n v="461"/>
    <x v="3"/>
    <x v="0"/>
    <n v="0.10429864253393666"/>
    <x v="0"/>
    <x v="6"/>
  </r>
  <r>
    <n v="1785"/>
    <s v="2023-07-18"/>
    <x v="2"/>
    <x v="0"/>
    <n v="1592"/>
    <n v="321"/>
    <x v="0"/>
    <x v="0"/>
    <n v="0.20163316582914573"/>
    <x v="0"/>
    <x v="6"/>
  </r>
  <r>
    <n v="1479"/>
    <s v="2023-07-19"/>
    <x v="0"/>
    <x v="1"/>
    <n v="1575"/>
    <n v="910"/>
    <x v="0"/>
    <x v="0"/>
    <n v="0.57777777777777772"/>
    <x v="0"/>
    <x v="6"/>
  </r>
  <r>
    <n v="1743"/>
    <s v="2023-07-19"/>
    <x v="0"/>
    <x v="0"/>
    <n v="3436"/>
    <n v="228"/>
    <x v="2"/>
    <x v="1"/>
    <n v="6.6356228172293363E-2"/>
    <x v="0"/>
    <x v="6"/>
  </r>
  <r>
    <n v="1901"/>
    <s v="2023-07-19"/>
    <x v="4"/>
    <x v="0"/>
    <n v="1469"/>
    <n v="72"/>
    <x v="2"/>
    <x v="1"/>
    <n v="4.9012933968686181E-2"/>
    <x v="0"/>
    <x v="6"/>
  </r>
  <r>
    <n v="1110"/>
    <s v="2023-07-20"/>
    <x v="3"/>
    <x v="0"/>
    <n v="2869"/>
    <n v="620"/>
    <x v="3"/>
    <x v="1"/>
    <n v="0.21610317183687697"/>
    <x v="0"/>
    <x v="6"/>
  </r>
  <r>
    <n v="1317"/>
    <s v="2023-07-20"/>
    <x v="4"/>
    <x v="0"/>
    <n v="3952"/>
    <n v="801"/>
    <x v="1"/>
    <x v="0"/>
    <n v="0.20268218623481782"/>
    <x v="0"/>
    <x v="6"/>
  </r>
  <r>
    <n v="1405"/>
    <s v="2023-07-20"/>
    <x v="0"/>
    <x v="0"/>
    <n v="1893"/>
    <n v="62"/>
    <x v="3"/>
    <x v="0"/>
    <n v="3.2752245113576335E-2"/>
    <x v="0"/>
    <x v="6"/>
  </r>
  <r>
    <n v="1409"/>
    <s v="2023-07-20"/>
    <x v="1"/>
    <x v="2"/>
    <n v="4994"/>
    <n v="781"/>
    <x v="2"/>
    <x v="1"/>
    <n v="0.15638766519823788"/>
    <x v="0"/>
    <x v="6"/>
  </r>
  <r>
    <n v="1721"/>
    <s v="2023-07-20"/>
    <x v="0"/>
    <x v="0"/>
    <n v="2649"/>
    <n v="312"/>
    <x v="1"/>
    <x v="1"/>
    <n v="0.11778029445073612"/>
    <x v="0"/>
    <x v="6"/>
  </r>
  <r>
    <n v="1022"/>
    <s v="2023-07-21"/>
    <x v="1"/>
    <x v="1"/>
    <n v="1137"/>
    <n v="497"/>
    <x v="2"/>
    <x v="0"/>
    <n v="0.43711521547933158"/>
    <x v="0"/>
    <x v="6"/>
  </r>
  <r>
    <n v="1218"/>
    <s v="2023-07-21"/>
    <x v="3"/>
    <x v="1"/>
    <n v="119"/>
    <n v="623"/>
    <x v="2"/>
    <x v="0"/>
    <n v="5.2352941176470589"/>
    <x v="0"/>
    <x v="6"/>
  </r>
  <r>
    <n v="1353"/>
    <s v="2023-07-21"/>
    <x v="4"/>
    <x v="0"/>
    <n v="503"/>
    <n v="203"/>
    <x v="3"/>
    <x v="0"/>
    <n v="0.40357852882703776"/>
    <x v="0"/>
    <x v="6"/>
  </r>
  <r>
    <n v="1466"/>
    <s v="2023-07-21"/>
    <x v="4"/>
    <x v="1"/>
    <n v="3946"/>
    <n v="810"/>
    <x v="0"/>
    <x v="1"/>
    <n v="0.20527116066903192"/>
    <x v="0"/>
    <x v="6"/>
  </r>
  <r>
    <n v="1907"/>
    <s v="2023-07-21"/>
    <x v="0"/>
    <x v="0"/>
    <n v="867"/>
    <n v="604"/>
    <x v="1"/>
    <x v="1"/>
    <n v="0.69665513264129186"/>
    <x v="0"/>
    <x v="6"/>
  </r>
  <r>
    <n v="1531"/>
    <s v="2023-07-23"/>
    <x v="0"/>
    <x v="0"/>
    <n v="2164"/>
    <n v="892"/>
    <x v="1"/>
    <x v="1"/>
    <n v="0.4121996303142329"/>
    <x v="0"/>
    <x v="6"/>
  </r>
  <r>
    <n v="1006"/>
    <s v="2023-07-24"/>
    <x v="3"/>
    <x v="2"/>
    <n v="2342"/>
    <n v="634"/>
    <x v="2"/>
    <x v="0"/>
    <n v="0.27070879590093938"/>
    <x v="0"/>
    <x v="6"/>
  </r>
  <r>
    <n v="1067"/>
    <s v="2023-07-24"/>
    <x v="1"/>
    <x v="0"/>
    <n v="4752"/>
    <n v="522"/>
    <x v="0"/>
    <x v="0"/>
    <n v="0.10984848484848485"/>
    <x v="0"/>
    <x v="6"/>
  </r>
  <r>
    <n v="1092"/>
    <s v="2023-07-24"/>
    <x v="5"/>
    <x v="0"/>
    <n v="2498"/>
    <n v="462"/>
    <x v="0"/>
    <x v="1"/>
    <n v="0.18494795836669337"/>
    <x v="0"/>
    <x v="6"/>
  </r>
  <r>
    <n v="1295"/>
    <s v="2023-07-24"/>
    <x v="5"/>
    <x v="1"/>
    <n v="722"/>
    <n v="326"/>
    <x v="0"/>
    <x v="0"/>
    <n v="0.45152354570637121"/>
    <x v="0"/>
    <x v="6"/>
  </r>
  <r>
    <n v="1804"/>
    <s v="2023-07-24"/>
    <x v="2"/>
    <x v="0"/>
    <n v="1780"/>
    <n v="893"/>
    <x v="2"/>
    <x v="1"/>
    <n v="0.50168539325842698"/>
    <x v="0"/>
    <x v="6"/>
  </r>
  <r>
    <n v="1996"/>
    <s v="2023-07-24"/>
    <x v="6"/>
    <x v="2"/>
    <n v="2489"/>
    <n v="378"/>
    <x v="3"/>
    <x v="0"/>
    <n v="0.15186822016874246"/>
    <x v="0"/>
    <x v="6"/>
  </r>
  <r>
    <n v="1024"/>
    <s v="2023-07-25"/>
    <x v="3"/>
    <x v="1"/>
    <n v="2024"/>
    <n v="409"/>
    <x v="0"/>
    <x v="0"/>
    <n v="0.20207509881422925"/>
    <x v="0"/>
    <x v="6"/>
  </r>
  <r>
    <n v="1849"/>
    <s v="2023-07-26"/>
    <x v="2"/>
    <x v="1"/>
    <n v="1950"/>
    <n v="375"/>
    <x v="0"/>
    <x v="0"/>
    <n v="0.19230769230769232"/>
    <x v="0"/>
    <x v="6"/>
  </r>
  <r>
    <n v="1065"/>
    <s v="2023-07-27"/>
    <x v="0"/>
    <x v="0"/>
    <n v="3905"/>
    <n v="902"/>
    <x v="0"/>
    <x v="1"/>
    <n v="0.23098591549295774"/>
    <x v="0"/>
    <x v="6"/>
  </r>
  <r>
    <n v="1549"/>
    <s v="2023-07-27"/>
    <x v="4"/>
    <x v="1"/>
    <n v="4672"/>
    <n v="498"/>
    <x v="2"/>
    <x v="0"/>
    <n v="0.10659246575342465"/>
    <x v="0"/>
    <x v="6"/>
  </r>
  <r>
    <n v="1583"/>
    <s v="2023-07-27"/>
    <x v="6"/>
    <x v="2"/>
    <n v="1890"/>
    <n v="341"/>
    <x v="3"/>
    <x v="1"/>
    <n v="0.18042328042328043"/>
    <x v="0"/>
    <x v="6"/>
  </r>
  <r>
    <n v="1782"/>
    <s v="2023-07-27"/>
    <x v="5"/>
    <x v="0"/>
    <n v="4556"/>
    <n v="479"/>
    <x v="2"/>
    <x v="1"/>
    <n v="0.10513608428446006"/>
    <x v="0"/>
    <x v="6"/>
  </r>
  <r>
    <n v="1788"/>
    <s v="2023-07-27"/>
    <x v="4"/>
    <x v="2"/>
    <n v="3439"/>
    <n v="270"/>
    <x v="1"/>
    <x v="0"/>
    <n v="7.8511195114858975E-2"/>
    <x v="0"/>
    <x v="6"/>
  </r>
  <r>
    <n v="1264"/>
    <s v="2023-07-28"/>
    <x v="5"/>
    <x v="2"/>
    <n v="4303"/>
    <n v="93"/>
    <x v="0"/>
    <x v="0"/>
    <n v="2.1612828259353938E-2"/>
    <x v="0"/>
    <x v="6"/>
  </r>
  <r>
    <n v="1992"/>
    <s v="2023-07-28"/>
    <x v="0"/>
    <x v="2"/>
    <n v="293"/>
    <n v="302"/>
    <x v="3"/>
    <x v="1"/>
    <n v="1.0307167235494881"/>
    <x v="0"/>
    <x v="6"/>
  </r>
  <r>
    <n v="1284"/>
    <s v="2023-07-29"/>
    <x v="4"/>
    <x v="2"/>
    <n v="1541"/>
    <n v="739"/>
    <x v="2"/>
    <x v="0"/>
    <n v="0.47955872809863725"/>
    <x v="0"/>
    <x v="6"/>
  </r>
  <r>
    <n v="1296"/>
    <s v="2023-07-29"/>
    <x v="3"/>
    <x v="2"/>
    <n v="2371"/>
    <n v="698"/>
    <x v="1"/>
    <x v="0"/>
    <n v="0.29439055250948964"/>
    <x v="0"/>
    <x v="6"/>
  </r>
  <r>
    <n v="1394"/>
    <s v="2023-07-29"/>
    <x v="6"/>
    <x v="0"/>
    <n v="1097"/>
    <n v="855"/>
    <x v="2"/>
    <x v="1"/>
    <n v="0.77939835916134914"/>
    <x v="0"/>
    <x v="6"/>
  </r>
  <r>
    <n v="1617"/>
    <s v="2023-07-29"/>
    <x v="4"/>
    <x v="2"/>
    <n v="2909"/>
    <n v="352"/>
    <x v="2"/>
    <x v="0"/>
    <n v="0.12100378136816775"/>
    <x v="0"/>
    <x v="6"/>
  </r>
  <r>
    <n v="1836"/>
    <s v="2023-07-29"/>
    <x v="4"/>
    <x v="2"/>
    <n v="2484"/>
    <n v="681"/>
    <x v="0"/>
    <x v="0"/>
    <n v="0.27415458937198067"/>
    <x v="0"/>
    <x v="6"/>
  </r>
  <r>
    <n v="1377"/>
    <s v="2023-07-30"/>
    <x v="0"/>
    <x v="1"/>
    <n v="1905"/>
    <n v="577"/>
    <x v="1"/>
    <x v="1"/>
    <n v="0.30288713910761156"/>
    <x v="0"/>
    <x v="6"/>
  </r>
  <r>
    <n v="1398"/>
    <s v="2023-07-30"/>
    <x v="1"/>
    <x v="0"/>
    <n v="2357"/>
    <n v="700"/>
    <x v="2"/>
    <x v="0"/>
    <n v="0.29698769622401355"/>
    <x v="0"/>
    <x v="6"/>
  </r>
  <r>
    <n v="1438"/>
    <s v="2023-07-30"/>
    <x v="1"/>
    <x v="1"/>
    <n v="2482"/>
    <n v="490"/>
    <x v="0"/>
    <x v="1"/>
    <n v="0.19742143432715553"/>
    <x v="0"/>
    <x v="6"/>
  </r>
  <r>
    <n v="1450"/>
    <s v="2023-07-30"/>
    <x v="0"/>
    <x v="0"/>
    <n v="1519"/>
    <n v="534"/>
    <x v="1"/>
    <x v="0"/>
    <n v="0.35154707044107963"/>
    <x v="0"/>
    <x v="6"/>
  </r>
  <r>
    <n v="1478"/>
    <s v="2023-07-30"/>
    <x v="3"/>
    <x v="0"/>
    <n v="2613"/>
    <n v="465"/>
    <x v="0"/>
    <x v="1"/>
    <n v="0.17795637198622274"/>
    <x v="0"/>
    <x v="6"/>
  </r>
  <r>
    <n v="1705"/>
    <s v="2023-07-30"/>
    <x v="2"/>
    <x v="0"/>
    <n v="1925"/>
    <n v="339"/>
    <x v="3"/>
    <x v="1"/>
    <n v="0.1761038961038961"/>
    <x v="0"/>
    <x v="6"/>
  </r>
  <r>
    <n v="1529"/>
    <s v="2023-07-31"/>
    <x v="1"/>
    <x v="2"/>
    <n v="3678"/>
    <n v="517"/>
    <x v="3"/>
    <x v="0"/>
    <n v="0.14056552474170744"/>
    <x v="0"/>
    <x v="6"/>
  </r>
  <r>
    <n v="1615"/>
    <s v="2023-07-31"/>
    <x v="1"/>
    <x v="2"/>
    <n v="4859"/>
    <n v="785"/>
    <x v="2"/>
    <x v="0"/>
    <n v="0.16155587569458738"/>
    <x v="0"/>
    <x v="6"/>
  </r>
  <r>
    <n v="1042"/>
    <s v="2023-08-01"/>
    <x v="1"/>
    <x v="0"/>
    <n v="4824"/>
    <n v="675"/>
    <x v="3"/>
    <x v="0"/>
    <n v="0.13992537313432835"/>
    <x v="0"/>
    <x v="7"/>
  </r>
  <r>
    <n v="1125"/>
    <s v="2023-08-01"/>
    <x v="3"/>
    <x v="1"/>
    <n v="4725"/>
    <n v="227"/>
    <x v="1"/>
    <x v="0"/>
    <n v="4.8042328042328039E-2"/>
    <x v="0"/>
    <x v="7"/>
  </r>
  <r>
    <n v="1664"/>
    <s v="2023-08-01"/>
    <x v="4"/>
    <x v="1"/>
    <n v="4045"/>
    <n v="692"/>
    <x v="0"/>
    <x v="0"/>
    <n v="0.17107540173053151"/>
    <x v="0"/>
    <x v="7"/>
  </r>
  <r>
    <n v="1835"/>
    <s v="2023-08-01"/>
    <x v="3"/>
    <x v="1"/>
    <n v="3838"/>
    <n v="690"/>
    <x v="1"/>
    <x v="1"/>
    <n v="0.17978113600833767"/>
    <x v="0"/>
    <x v="7"/>
  </r>
  <r>
    <n v="1869"/>
    <s v="2023-08-01"/>
    <x v="2"/>
    <x v="1"/>
    <n v="3928"/>
    <n v="77"/>
    <x v="0"/>
    <x v="1"/>
    <n v="1.960285132382892E-2"/>
    <x v="0"/>
    <x v="7"/>
  </r>
  <r>
    <n v="1156"/>
    <s v="2023-08-02"/>
    <x v="6"/>
    <x v="2"/>
    <n v="1673"/>
    <n v="758"/>
    <x v="1"/>
    <x v="1"/>
    <n v="0.45307830245068736"/>
    <x v="0"/>
    <x v="7"/>
  </r>
  <r>
    <n v="1461"/>
    <s v="2023-08-02"/>
    <x v="2"/>
    <x v="1"/>
    <n v="1473"/>
    <n v="197"/>
    <x v="0"/>
    <x v="1"/>
    <n v="0.13374066530889342"/>
    <x v="0"/>
    <x v="7"/>
  </r>
  <r>
    <n v="1536"/>
    <s v="2023-08-02"/>
    <x v="1"/>
    <x v="2"/>
    <n v="1269"/>
    <n v="915"/>
    <x v="2"/>
    <x v="1"/>
    <n v="0.72104018912529555"/>
    <x v="0"/>
    <x v="7"/>
  </r>
  <r>
    <n v="1616"/>
    <s v="2023-08-02"/>
    <x v="2"/>
    <x v="1"/>
    <n v="4306"/>
    <n v="668"/>
    <x v="1"/>
    <x v="1"/>
    <n v="0.15513237343241987"/>
    <x v="0"/>
    <x v="7"/>
  </r>
  <r>
    <n v="1274"/>
    <s v="2023-08-03"/>
    <x v="3"/>
    <x v="0"/>
    <n v="1211"/>
    <n v="818"/>
    <x v="3"/>
    <x v="1"/>
    <n v="0.67547481420313793"/>
    <x v="0"/>
    <x v="7"/>
  </r>
  <r>
    <n v="1894"/>
    <s v="2023-08-03"/>
    <x v="5"/>
    <x v="1"/>
    <n v="121"/>
    <n v="910"/>
    <x v="3"/>
    <x v="1"/>
    <n v="7.5206611570247937"/>
    <x v="0"/>
    <x v="7"/>
  </r>
  <r>
    <n v="1013"/>
    <s v="2023-08-04"/>
    <x v="1"/>
    <x v="2"/>
    <n v="3503"/>
    <n v="104"/>
    <x v="2"/>
    <x v="1"/>
    <n v="2.9688838138738224E-2"/>
    <x v="0"/>
    <x v="7"/>
  </r>
  <r>
    <n v="1163"/>
    <s v="2023-08-04"/>
    <x v="1"/>
    <x v="2"/>
    <n v="4574"/>
    <n v="891"/>
    <x v="0"/>
    <x v="1"/>
    <n v="0.19479667686926105"/>
    <x v="0"/>
    <x v="7"/>
  </r>
  <r>
    <n v="1347"/>
    <s v="2023-08-04"/>
    <x v="4"/>
    <x v="0"/>
    <n v="2766"/>
    <n v="648"/>
    <x v="3"/>
    <x v="0"/>
    <n v="0.23427331887201736"/>
    <x v="0"/>
    <x v="7"/>
  </r>
  <r>
    <n v="1356"/>
    <s v="2023-08-04"/>
    <x v="2"/>
    <x v="0"/>
    <n v="3490"/>
    <n v="991"/>
    <x v="0"/>
    <x v="0"/>
    <n v="0.28395415472779367"/>
    <x v="0"/>
    <x v="7"/>
  </r>
  <r>
    <n v="1395"/>
    <s v="2023-08-05"/>
    <x v="4"/>
    <x v="2"/>
    <n v="892"/>
    <n v="177"/>
    <x v="2"/>
    <x v="0"/>
    <n v="0.19843049327354259"/>
    <x v="0"/>
    <x v="7"/>
  </r>
  <r>
    <n v="1098"/>
    <s v="2023-08-06"/>
    <x v="5"/>
    <x v="1"/>
    <n v="340"/>
    <n v="957"/>
    <x v="1"/>
    <x v="1"/>
    <n v="2.8147058823529414"/>
    <x v="0"/>
    <x v="7"/>
  </r>
  <r>
    <n v="1961"/>
    <s v="2023-08-06"/>
    <x v="2"/>
    <x v="2"/>
    <n v="2522"/>
    <n v="538"/>
    <x v="3"/>
    <x v="1"/>
    <n v="0.21332275971451228"/>
    <x v="0"/>
    <x v="7"/>
  </r>
  <r>
    <n v="1349"/>
    <s v="2023-08-07"/>
    <x v="0"/>
    <x v="2"/>
    <n v="3039"/>
    <n v="312"/>
    <x v="0"/>
    <x v="0"/>
    <n v="0.10266535044422508"/>
    <x v="0"/>
    <x v="7"/>
  </r>
  <r>
    <n v="1647"/>
    <s v="2023-08-08"/>
    <x v="1"/>
    <x v="1"/>
    <n v="529"/>
    <n v="55"/>
    <x v="0"/>
    <x v="1"/>
    <n v="0.10396975425330812"/>
    <x v="0"/>
    <x v="7"/>
  </r>
  <r>
    <n v="1975"/>
    <s v="2023-08-08"/>
    <x v="4"/>
    <x v="2"/>
    <n v="3615"/>
    <n v="930"/>
    <x v="3"/>
    <x v="0"/>
    <n v="0.25726141078838172"/>
    <x v="0"/>
    <x v="7"/>
  </r>
  <r>
    <n v="1977"/>
    <s v="2023-08-08"/>
    <x v="2"/>
    <x v="2"/>
    <n v="3860"/>
    <n v="922"/>
    <x v="2"/>
    <x v="0"/>
    <n v="0.23886010362694302"/>
    <x v="0"/>
    <x v="7"/>
  </r>
  <r>
    <n v="1402"/>
    <s v="2023-08-09"/>
    <x v="1"/>
    <x v="0"/>
    <n v="4489"/>
    <n v="375"/>
    <x v="3"/>
    <x v="1"/>
    <n v="8.3537536199599013E-2"/>
    <x v="0"/>
    <x v="7"/>
  </r>
  <r>
    <n v="1557"/>
    <s v="2023-08-09"/>
    <x v="0"/>
    <x v="1"/>
    <n v="2526"/>
    <n v="195"/>
    <x v="3"/>
    <x v="1"/>
    <n v="7.7197149643705457E-2"/>
    <x v="0"/>
    <x v="7"/>
  </r>
  <r>
    <n v="1735"/>
    <s v="2023-08-09"/>
    <x v="1"/>
    <x v="2"/>
    <n v="2799"/>
    <n v="755"/>
    <x v="1"/>
    <x v="0"/>
    <n v="0.26973919256877454"/>
    <x v="0"/>
    <x v="7"/>
  </r>
  <r>
    <n v="1739"/>
    <s v="2023-08-09"/>
    <x v="4"/>
    <x v="2"/>
    <n v="434"/>
    <n v="443"/>
    <x v="1"/>
    <x v="1"/>
    <n v="1.0207373271889402"/>
    <x v="0"/>
    <x v="7"/>
  </r>
  <r>
    <n v="1201"/>
    <s v="2023-08-10"/>
    <x v="2"/>
    <x v="2"/>
    <n v="707"/>
    <n v="823"/>
    <x v="0"/>
    <x v="0"/>
    <n v="1.164073550212164"/>
    <x v="0"/>
    <x v="7"/>
  </r>
  <r>
    <n v="1410"/>
    <s v="2023-08-10"/>
    <x v="2"/>
    <x v="1"/>
    <n v="1487"/>
    <n v="976"/>
    <x v="1"/>
    <x v="0"/>
    <n v="0.65635507733692"/>
    <x v="0"/>
    <x v="7"/>
  </r>
  <r>
    <n v="1524"/>
    <s v="2023-08-10"/>
    <x v="3"/>
    <x v="0"/>
    <n v="4092"/>
    <n v="884"/>
    <x v="3"/>
    <x v="1"/>
    <n v="0.21603128054740958"/>
    <x v="0"/>
    <x v="7"/>
  </r>
  <r>
    <n v="1846"/>
    <s v="2023-08-10"/>
    <x v="5"/>
    <x v="1"/>
    <n v="265"/>
    <n v="877"/>
    <x v="2"/>
    <x v="0"/>
    <n v="3.3094339622641509"/>
    <x v="0"/>
    <x v="7"/>
  </r>
  <r>
    <n v="1928"/>
    <s v="2023-08-10"/>
    <x v="4"/>
    <x v="1"/>
    <n v="1236"/>
    <n v="790"/>
    <x v="2"/>
    <x v="0"/>
    <n v="0.63915857605177995"/>
    <x v="0"/>
    <x v="7"/>
  </r>
  <r>
    <n v="1208"/>
    <s v="2023-08-11"/>
    <x v="1"/>
    <x v="1"/>
    <n v="3710"/>
    <n v="711"/>
    <x v="2"/>
    <x v="1"/>
    <n v="0.19164420485175201"/>
    <x v="0"/>
    <x v="7"/>
  </r>
  <r>
    <n v="1075"/>
    <s v="2023-08-12"/>
    <x v="0"/>
    <x v="0"/>
    <n v="3080"/>
    <n v="919"/>
    <x v="0"/>
    <x v="0"/>
    <n v="0.29837662337662335"/>
    <x v="0"/>
    <x v="7"/>
  </r>
  <r>
    <n v="1221"/>
    <s v="2023-08-12"/>
    <x v="6"/>
    <x v="2"/>
    <n v="2039"/>
    <n v="102"/>
    <x v="1"/>
    <x v="0"/>
    <n v="5.002452182442374E-2"/>
    <x v="0"/>
    <x v="7"/>
  </r>
  <r>
    <n v="1498"/>
    <s v="2023-08-12"/>
    <x v="3"/>
    <x v="0"/>
    <n v="405"/>
    <n v="914"/>
    <x v="3"/>
    <x v="1"/>
    <n v="2.2567901234567902"/>
    <x v="0"/>
    <x v="7"/>
  </r>
  <r>
    <n v="1532"/>
    <s v="2023-08-12"/>
    <x v="3"/>
    <x v="1"/>
    <n v="3042"/>
    <n v="676"/>
    <x v="2"/>
    <x v="0"/>
    <n v="0.22222222222222221"/>
    <x v="0"/>
    <x v="7"/>
  </r>
  <r>
    <n v="1214"/>
    <s v="2023-08-13"/>
    <x v="2"/>
    <x v="2"/>
    <n v="3239"/>
    <n v="292"/>
    <x v="0"/>
    <x v="0"/>
    <n v="9.0151281259648039E-2"/>
    <x v="0"/>
    <x v="7"/>
  </r>
  <r>
    <n v="1232"/>
    <s v="2023-08-13"/>
    <x v="6"/>
    <x v="2"/>
    <n v="2599"/>
    <n v="958"/>
    <x v="0"/>
    <x v="1"/>
    <n v="0.36860330896498655"/>
    <x v="0"/>
    <x v="7"/>
  </r>
  <r>
    <n v="1676"/>
    <s v="2023-08-13"/>
    <x v="3"/>
    <x v="0"/>
    <n v="2140"/>
    <n v="720"/>
    <x v="2"/>
    <x v="0"/>
    <n v="0.3364485981308411"/>
    <x v="0"/>
    <x v="7"/>
  </r>
  <r>
    <n v="1090"/>
    <s v="2023-08-14"/>
    <x v="6"/>
    <x v="1"/>
    <n v="1112"/>
    <n v="881"/>
    <x v="0"/>
    <x v="1"/>
    <n v="0.79226618705035967"/>
    <x v="0"/>
    <x v="7"/>
  </r>
  <r>
    <n v="1145"/>
    <s v="2023-08-14"/>
    <x v="0"/>
    <x v="2"/>
    <n v="3662"/>
    <n v="310"/>
    <x v="0"/>
    <x v="1"/>
    <n v="8.4653194975423271E-2"/>
    <x v="0"/>
    <x v="7"/>
  </r>
  <r>
    <n v="1912"/>
    <s v="2023-08-14"/>
    <x v="1"/>
    <x v="0"/>
    <n v="844"/>
    <n v="470"/>
    <x v="0"/>
    <x v="1"/>
    <n v="0.55687203791469198"/>
    <x v="0"/>
    <x v="7"/>
  </r>
  <r>
    <n v="1312"/>
    <s v="2023-08-15"/>
    <x v="3"/>
    <x v="0"/>
    <n v="3642"/>
    <n v="327"/>
    <x v="2"/>
    <x v="0"/>
    <n v="8.978583196046129E-2"/>
    <x v="0"/>
    <x v="7"/>
  </r>
  <r>
    <n v="1889"/>
    <s v="2023-08-15"/>
    <x v="0"/>
    <x v="1"/>
    <n v="119"/>
    <n v="966"/>
    <x v="3"/>
    <x v="1"/>
    <n v="8.117647058823529"/>
    <x v="0"/>
    <x v="7"/>
  </r>
  <r>
    <n v="1933"/>
    <s v="2023-08-15"/>
    <x v="1"/>
    <x v="1"/>
    <n v="449"/>
    <n v="101"/>
    <x v="0"/>
    <x v="0"/>
    <n v="0.22494432071269488"/>
    <x v="0"/>
    <x v="7"/>
  </r>
  <r>
    <n v="1300"/>
    <s v="2023-08-16"/>
    <x v="4"/>
    <x v="2"/>
    <n v="3986"/>
    <n v="240"/>
    <x v="0"/>
    <x v="1"/>
    <n v="6.0210737581535376E-2"/>
    <x v="0"/>
    <x v="7"/>
  </r>
  <r>
    <n v="1314"/>
    <s v="2023-08-16"/>
    <x v="4"/>
    <x v="0"/>
    <n v="2037"/>
    <n v="457"/>
    <x v="3"/>
    <x v="1"/>
    <n v="0.22434953362788415"/>
    <x v="0"/>
    <x v="7"/>
  </r>
  <r>
    <n v="1444"/>
    <s v="2023-08-16"/>
    <x v="6"/>
    <x v="1"/>
    <n v="1377"/>
    <n v="470"/>
    <x v="3"/>
    <x v="0"/>
    <n v="0.34132171387073346"/>
    <x v="0"/>
    <x v="7"/>
  </r>
  <r>
    <n v="1636"/>
    <s v="2023-08-16"/>
    <x v="0"/>
    <x v="0"/>
    <n v="4213"/>
    <n v="717"/>
    <x v="2"/>
    <x v="0"/>
    <n v="0.17018751483503441"/>
    <x v="0"/>
    <x v="7"/>
  </r>
  <r>
    <n v="1646"/>
    <s v="2023-08-16"/>
    <x v="1"/>
    <x v="2"/>
    <n v="1668"/>
    <n v="20"/>
    <x v="2"/>
    <x v="1"/>
    <n v="1.1990407673860911E-2"/>
    <x v="0"/>
    <x v="7"/>
  </r>
  <r>
    <n v="1031"/>
    <s v="2023-08-17"/>
    <x v="1"/>
    <x v="1"/>
    <n v="2330"/>
    <n v="365"/>
    <x v="2"/>
    <x v="1"/>
    <n v="0.15665236051502146"/>
    <x v="0"/>
    <x v="7"/>
  </r>
  <r>
    <n v="1165"/>
    <s v="2023-08-17"/>
    <x v="2"/>
    <x v="1"/>
    <n v="2711"/>
    <n v="342"/>
    <x v="1"/>
    <x v="1"/>
    <n v="0.12615271117668758"/>
    <x v="0"/>
    <x v="7"/>
  </r>
  <r>
    <n v="1393"/>
    <s v="2023-08-17"/>
    <x v="2"/>
    <x v="2"/>
    <n v="2616"/>
    <n v="137"/>
    <x v="2"/>
    <x v="1"/>
    <n v="5.2370030581039756E-2"/>
    <x v="0"/>
    <x v="7"/>
  </r>
  <r>
    <n v="1454"/>
    <s v="2023-08-17"/>
    <x v="3"/>
    <x v="0"/>
    <n v="520"/>
    <n v="916"/>
    <x v="3"/>
    <x v="1"/>
    <n v="1.7615384615384615"/>
    <x v="0"/>
    <x v="7"/>
  </r>
  <r>
    <n v="1631"/>
    <s v="2023-08-17"/>
    <x v="5"/>
    <x v="1"/>
    <n v="4680"/>
    <n v="907"/>
    <x v="0"/>
    <x v="0"/>
    <n v="0.19380341880341881"/>
    <x v="0"/>
    <x v="7"/>
  </r>
  <r>
    <n v="1744"/>
    <s v="2023-08-17"/>
    <x v="5"/>
    <x v="0"/>
    <n v="3731"/>
    <n v="95"/>
    <x v="1"/>
    <x v="1"/>
    <n v="2.5462342535513268E-2"/>
    <x v="0"/>
    <x v="7"/>
  </r>
  <r>
    <n v="1819"/>
    <s v="2023-08-17"/>
    <x v="2"/>
    <x v="0"/>
    <n v="2594"/>
    <n v="507"/>
    <x v="3"/>
    <x v="1"/>
    <n v="0.19545104086353124"/>
    <x v="0"/>
    <x v="7"/>
  </r>
  <r>
    <n v="1068"/>
    <s v="2023-08-18"/>
    <x v="3"/>
    <x v="1"/>
    <n v="676"/>
    <n v="807"/>
    <x v="2"/>
    <x v="1"/>
    <n v="1.1937869822485208"/>
    <x v="0"/>
    <x v="7"/>
  </r>
  <r>
    <n v="1104"/>
    <s v="2023-08-18"/>
    <x v="3"/>
    <x v="2"/>
    <n v="3458"/>
    <n v="290"/>
    <x v="1"/>
    <x v="0"/>
    <n v="8.3863504916136491E-2"/>
    <x v="0"/>
    <x v="7"/>
  </r>
  <r>
    <n v="1555"/>
    <s v="2023-08-18"/>
    <x v="1"/>
    <x v="2"/>
    <n v="2485"/>
    <n v="146"/>
    <x v="1"/>
    <x v="1"/>
    <n v="5.8752515090543259E-2"/>
    <x v="0"/>
    <x v="7"/>
  </r>
  <r>
    <n v="1921"/>
    <s v="2023-08-18"/>
    <x v="4"/>
    <x v="2"/>
    <n v="4508"/>
    <n v="328"/>
    <x v="3"/>
    <x v="0"/>
    <n v="7.2759538598047915E-2"/>
    <x v="0"/>
    <x v="7"/>
  </r>
  <r>
    <n v="1567"/>
    <s v="2023-08-19"/>
    <x v="6"/>
    <x v="2"/>
    <n v="455"/>
    <n v="650"/>
    <x v="2"/>
    <x v="0"/>
    <n v="1.4285714285714286"/>
    <x v="0"/>
    <x v="7"/>
  </r>
  <r>
    <n v="1813"/>
    <s v="2023-08-19"/>
    <x v="2"/>
    <x v="1"/>
    <n v="3293"/>
    <n v="724"/>
    <x v="2"/>
    <x v="0"/>
    <n v="0.21986030974795021"/>
    <x v="0"/>
    <x v="7"/>
  </r>
  <r>
    <n v="1077"/>
    <s v="2023-08-20"/>
    <x v="0"/>
    <x v="1"/>
    <n v="4784"/>
    <n v="612"/>
    <x v="3"/>
    <x v="0"/>
    <n v="0.12792642140468227"/>
    <x v="0"/>
    <x v="7"/>
  </r>
  <r>
    <n v="1146"/>
    <s v="2023-08-20"/>
    <x v="3"/>
    <x v="1"/>
    <n v="4077"/>
    <n v="787"/>
    <x v="3"/>
    <x v="1"/>
    <n v="0.19303409369634536"/>
    <x v="0"/>
    <x v="7"/>
  </r>
  <r>
    <n v="1468"/>
    <s v="2023-08-20"/>
    <x v="0"/>
    <x v="1"/>
    <n v="657"/>
    <n v="865"/>
    <x v="2"/>
    <x v="0"/>
    <n v="1.3165905631659056"/>
    <x v="0"/>
    <x v="7"/>
  </r>
  <r>
    <n v="1887"/>
    <s v="2023-08-20"/>
    <x v="3"/>
    <x v="2"/>
    <n v="2693"/>
    <n v="293"/>
    <x v="3"/>
    <x v="1"/>
    <n v="0.10880059413293725"/>
    <x v="0"/>
    <x v="7"/>
  </r>
  <r>
    <n v="1046"/>
    <s v="2023-08-21"/>
    <x v="4"/>
    <x v="1"/>
    <n v="4351"/>
    <n v="20"/>
    <x v="1"/>
    <x v="0"/>
    <n v="4.5966444495518267E-3"/>
    <x v="0"/>
    <x v="7"/>
  </r>
  <r>
    <n v="1588"/>
    <s v="2023-08-21"/>
    <x v="2"/>
    <x v="0"/>
    <n v="3165"/>
    <n v="923"/>
    <x v="3"/>
    <x v="1"/>
    <n v="0.29162717219589257"/>
    <x v="0"/>
    <x v="7"/>
  </r>
  <r>
    <n v="1746"/>
    <s v="2023-08-21"/>
    <x v="5"/>
    <x v="1"/>
    <n v="2684"/>
    <n v="865"/>
    <x v="2"/>
    <x v="1"/>
    <n v="0.32228017883755589"/>
    <x v="0"/>
    <x v="7"/>
  </r>
  <r>
    <n v="1892"/>
    <s v="2023-08-21"/>
    <x v="6"/>
    <x v="0"/>
    <n v="3913"/>
    <n v="771"/>
    <x v="2"/>
    <x v="1"/>
    <n v="0.19703552261691795"/>
    <x v="0"/>
    <x v="7"/>
  </r>
  <r>
    <n v="1877"/>
    <s v="2023-08-23"/>
    <x v="1"/>
    <x v="0"/>
    <n v="2867"/>
    <n v="61"/>
    <x v="3"/>
    <x v="0"/>
    <n v="2.1276595744680851E-2"/>
    <x v="0"/>
    <x v="7"/>
  </r>
  <r>
    <n v="1045"/>
    <s v="2023-08-24"/>
    <x v="4"/>
    <x v="1"/>
    <n v="360"/>
    <n v="73"/>
    <x v="1"/>
    <x v="0"/>
    <n v="0.20277777777777778"/>
    <x v="0"/>
    <x v="7"/>
  </r>
  <r>
    <n v="1266"/>
    <s v="2023-08-24"/>
    <x v="5"/>
    <x v="0"/>
    <n v="3146"/>
    <n v="573"/>
    <x v="3"/>
    <x v="1"/>
    <n v="0.18213604577240941"/>
    <x v="0"/>
    <x v="7"/>
  </r>
  <r>
    <n v="1442"/>
    <s v="2023-08-24"/>
    <x v="0"/>
    <x v="1"/>
    <n v="552"/>
    <n v="957"/>
    <x v="2"/>
    <x v="0"/>
    <n v="1.7336956521739131"/>
    <x v="0"/>
    <x v="7"/>
  </r>
  <r>
    <n v="1822"/>
    <s v="2023-08-24"/>
    <x v="2"/>
    <x v="1"/>
    <n v="4839"/>
    <n v="396"/>
    <x v="2"/>
    <x v="0"/>
    <n v="8.1835089894606319E-2"/>
    <x v="0"/>
    <x v="7"/>
  </r>
  <r>
    <n v="1973"/>
    <s v="2023-08-24"/>
    <x v="3"/>
    <x v="1"/>
    <n v="4418"/>
    <n v="772"/>
    <x v="2"/>
    <x v="1"/>
    <n v="0.17473970122227253"/>
    <x v="0"/>
    <x v="7"/>
  </r>
  <r>
    <n v="1048"/>
    <s v="2023-08-25"/>
    <x v="2"/>
    <x v="2"/>
    <n v="4078"/>
    <n v="776"/>
    <x v="1"/>
    <x v="0"/>
    <n v="0.19028935752820009"/>
    <x v="0"/>
    <x v="7"/>
  </r>
  <r>
    <n v="1699"/>
    <s v="2023-08-25"/>
    <x v="6"/>
    <x v="0"/>
    <n v="2298"/>
    <n v="978"/>
    <x v="0"/>
    <x v="1"/>
    <n v="0.4255874673629243"/>
    <x v="0"/>
    <x v="7"/>
  </r>
  <r>
    <n v="1554"/>
    <s v="2023-08-26"/>
    <x v="1"/>
    <x v="0"/>
    <n v="1328"/>
    <n v="298"/>
    <x v="3"/>
    <x v="0"/>
    <n v="0.22439759036144577"/>
    <x v="0"/>
    <x v="7"/>
  </r>
  <r>
    <n v="1740"/>
    <s v="2023-08-26"/>
    <x v="3"/>
    <x v="2"/>
    <n v="3114"/>
    <n v="840"/>
    <x v="0"/>
    <x v="1"/>
    <n v="0.26974951830443161"/>
    <x v="0"/>
    <x v="7"/>
  </r>
  <r>
    <n v="1815"/>
    <s v="2023-08-26"/>
    <x v="1"/>
    <x v="2"/>
    <n v="2274"/>
    <n v="429"/>
    <x v="0"/>
    <x v="1"/>
    <n v="0.18865435356200527"/>
    <x v="0"/>
    <x v="7"/>
  </r>
  <r>
    <n v="1884"/>
    <s v="2023-08-26"/>
    <x v="2"/>
    <x v="2"/>
    <n v="3094"/>
    <n v="235"/>
    <x v="1"/>
    <x v="0"/>
    <n v="7.5953458306399477E-2"/>
    <x v="0"/>
    <x v="7"/>
  </r>
  <r>
    <n v="1348"/>
    <s v="2023-08-27"/>
    <x v="3"/>
    <x v="2"/>
    <n v="1093"/>
    <n v="961"/>
    <x v="0"/>
    <x v="0"/>
    <n v="0.87923147301006399"/>
    <x v="0"/>
    <x v="7"/>
  </r>
  <r>
    <n v="1556"/>
    <s v="2023-08-27"/>
    <x v="0"/>
    <x v="0"/>
    <n v="2248"/>
    <n v="260"/>
    <x v="3"/>
    <x v="0"/>
    <n v="0.11565836298932385"/>
    <x v="0"/>
    <x v="7"/>
  </r>
  <r>
    <n v="1577"/>
    <s v="2023-08-27"/>
    <x v="2"/>
    <x v="0"/>
    <n v="2155"/>
    <n v="624"/>
    <x v="3"/>
    <x v="0"/>
    <n v="0.28955916473317866"/>
    <x v="0"/>
    <x v="7"/>
  </r>
  <r>
    <n v="1099"/>
    <s v="2023-08-28"/>
    <x v="6"/>
    <x v="2"/>
    <n v="3899"/>
    <n v="789"/>
    <x v="0"/>
    <x v="1"/>
    <n v="0.20235957937932803"/>
    <x v="0"/>
    <x v="7"/>
  </r>
  <r>
    <n v="1113"/>
    <s v="2023-08-28"/>
    <x v="5"/>
    <x v="2"/>
    <n v="1620"/>
    <n v="157"/>
    <x v="1"/>
    <x v="1"/>
    <n v="9.6913580246913586E-2"/>
    <x v="0"/>
    <x v="7"/>
  </r>
  <r>
    <n v="1281"/>
    <s v="2023-08-28"/>
    <x v="0"/>
    <x v="2"/>
    <n v="1106"/>
    <n v="562"/>
    <x v="0"/>
    <x v="0"/>
    <n v="0.50813743218806506"/>
    <x v="0"/>
    <x v="7"/>
  </r>
  <r>
    <n v="1602"/>
    <s v="2023-08-28"/>
    <x v="3"/>
    <x v="1"/>
    <n v="4997"/>
    <n v="708"/>
    <x v="2"/>
    <x v="0"/>
    <n v="0.14168501100660397"/>
    <x v="0"/>
    <x v="7"/>
  </r>
  <r>
    <n v="1861"/>
    <s v="2023-08-28"/>
    <x v="3"/>
    <x v="1"/>
    <n v="3818"/>
    <n v="661"/>
    <x v="0"/>
    <x v="0"/>
    <n v="0.17312729177579886"/>
    <x v="0"/>
    <x v="7"/>
  </r>
  <r>
    <n v="1039"/>
    <s v="2023-08-29"/>
    <x v="6"/>
    <x v="1"/>
    <n v="1396"/>
    <n v="650"/>
    <x v="3"/>
    <x v="1"/>
    <n v="0.46561604584527222"/>
    <x v="0"/>
    <x v="7"/>
  </r>
  <r>
    <n v="1047"/>
    <s v="2023-08-29"/>
    <x v="4"/>
    <x v="0"/>
    <n v="1900"/>
    <n v="354"/>
    <x v="1"/>
    <x v="1"/>
    <n v="0.18631578947368421"/>
    <x v="0"/>
    <x v="7"/>
  </r>
  <r>
    <n v="1344"/>
    <s v="2023-08-29"/>
    <x v="6"/>
    <x v="2"/>
    <n v="253"/>
    <n v="915"/>
    <x v="2"/>
    <x v="0"/>
    <n v="3.616600790513834"/>
    <x v="0"/>
    <x v="7"/>
  </r>
  <r>
    <n v="1937"/>
    <s v="2023-08-29"/>
    <x v="4"/>
    <x v="2"/>
    <n v="3906"/>
    <n v="880"/>
    <x v="0"/>
    <x v="0"/>
    <n v="0.22529441884280593"/>
    <x v="0"/>
    <x v="7"/>
  </r>
  <r>
    <n v="1058"/>
    <s v="2023-08-30"/>
    <x v="5"/>
    <x v="2"/>
    <n v="3093"/>
    <n v="33"/>
    <x v="0"/>
    <x v="0"/>
    <n v="1.066925315227934E-2"/>
    <x v="0"/>
    <x v="7"/>
  </r>
  <r>
    <n v="1155"/>
    <s v="2023-08-30"/>
    <x v="1"/>
    <x v="0"/>
    <n v="4030"/>
    <n v="935"/>
    <x v="1"/>
    <x v="1"/>
    <n v="0.23200992555831265"/>
    <x v="0"/>
    <x v="7"/>
  </r>
  <r>
    <n v="1262"/>
    <s v="2023-08-31"/>
    <x v="2"/>
    <x v="0"/>
    <n v="1407"/>
    <n v="677"/>
    <x v="0"/>
    <x v="1"/>
    <n v="0.48116560056858565"/>
    <x v="0"/>
    <x v="7"/>
  </r>
  <r>
    <n v="1435"/>
    <s v="2023-08-31"/>
    <x v="2"/>
    <x v="1"/>
    <n v="1327"/>
    <n v="443"/>
    <x v="1"/>
    <x v="1"/>
    <n v="0.33383571966842501"/>
    <x v="0"/>
    <x v="7"/>
  </r>
  <r>
    <n v="1656"/>
    <s v="2023-08-31"/>
    <x v="2"/>
    <x v="2"/>
    <n v="4394"/>
    <n v="521"/>
    <x v="2"/>
    <x v="1"/>
    <n v="0.11857077833409195"/>
    <x v="0"/>
    <x v="7"/>
  </r>
  <r>
    <n v="1934"/>
    <s v="2023-08-31"/>
    <x v="6"/>
    <x v="0"/>
    <n v="4851"/>
    <n v="147"/>
    <x v="1"/>
    <x v="1"/>
    <n v="3.0303030303030304E-2"/>
    <x v="0"/>
    <x v="7"/>
  </r>
  <r>
    <n v="1088"/>
    <s v="2023-09-01"/>
    <x v="4"/>
    <x v="0"/>
    <n v="552"/>
    <n v="86"/>
    <x v="2"/>
    <x v="1"/>
    <n v="0.15579710144927536"/>
    <x v="0"/>
    <x v="8"/>
  </r>
  <r>
    <n v="1709"/>
    <s v="2023-09-01"/>
    <x v="6"/>
    <x v="2"/>
    <n v="2836"/>
    <n v="87"/>
    <x v="1"/>
    <x v="0"/>
    <n v="3.067700987306065E-2"/>
    <x v="0"/>
    <x v="8"/>
  </r>
  <r>
    <n v="1931"/>
    <s v="2023-09-01"/>
    <x v="2"/>
    <x v="0"/>
    <n v="875"/>
    <n v="475"/>
    <x v="3"/>
    <x v="1"/>
    <n v="0.54285714285714282"/>
    <x v="0"/>
    <x v="8"/>
  </r>
  <r>
    <n v="1541"/>
    <s v="2023-09-02"/>
    <x v="2"/>
    <x v="0"/>
    <n v="3445"/>
    <n v="164"/>
    <x v="1"/>
    <x v="1"/>
    <n v="4.7605224963715533E-2"/>
    <x v="0"/>
    <x v="8"/>
  </r>
  <r>
    <n v="1107"/>
    <s v="2023-09-03"/>
    <x v="3"/>
    <x v="2"/>
    <n v="223"/>
    <n v="102"/>
    <x v="2"/>
    <x v="1"/>
    <n v="0.45739910313901344"/>
    <x v="0"/>
    <x v="8"/>
  </r>
  <r>
    <n v="1425"/>
    <s v="2023-09-03"/>
    <x v="4"/>
    <x v="2"/>
    <n v="3517"/>
    <n v="647"/>
    <x v="0"/>
    <x v="1"/>
    <n v="0.18396360534546488"/>
    <x v="0"/>
    <x v="8"/>
  </r>
  <r>
    <n v="1443"/>
    <s v="2023-09-04"/>
    <x v="2"/>
    <x v="1"/>
    <n v="3885"/>
    <n v="494"/>
    <x v="2"/>
    <x v="1"/>
    <n v="0.12715572715572715"/>
    <x v="0"/>
    <x v="8"/>
  </r>
  <r>
    <n v="1501"/>
    <s v="2023-09-04"/>
    <x v="0"/>
    <x v="2"/>
    <n v="877"/>
    <n v="767"/>
    <x v="0"/>
    <x v="1"/>
    <n v="0.87457240592930441"/>
    <x v="0"/>
    <x v="8"/>
  </r>
  <r>
    <n v="1757"/>
    <s v="2023-09-04"/>
    <x v="3"/>
    <x v="0"/>
    <n v="2533"/>
    <n v="992"/>
    <x v="0"/>
    <x v="1"/>
    <n v="0.39163047769443349"/>
    <x v="0"/>
    <x v="8"/>
  </r>
  <r>
    <n v="1791"/>
    <s v="2023-09-04"/>
    <x v="1"/>
    <x v="0"/>
    <n v="1356"/>
    <n v="317"/>
    <x v="0"/>
    <x v="1"/>
    <n v="0.23377581120943952"/>
    <x v="0"/>
    <x v="8"/>
  </r>
  <r>
    <n v="1970"/>
    <s v="2023-09-04"/>
    <x v="2"/>
    <x v="2"/>
    <n v="2315"/>
    <n v="255"/>
    <x v="2"/>
    <x v="1"/>
    <n v="0.1101511879049676"/>
    <x v="0"/>
    <x v="8"/>
  </r>
  <r>
    <n v="1963"/>
    <s v="2023-09-05"/>
    <x v="0"/>
    <x v="2"/>
    <n v="4444"/>
    <n v="350"/>
    <x v="0"/>
    <x v="0"/>
    <n v="7.8757875787578757E-2"/>
    <x v="0"/>
    <x v="8"/>
  </r>
  <r>
    <n v="1023"/>
    <s v="2023-09-06"/>
    <x v="0"/>
    <x v="2"/>
    <n v="210"/>
    <n v="792"/>
    <x v="3"/>
    <x v="1"/>
    <n v="3.7714285714285714"/>
    <x v="0"/>
    <x v="8"/>
  </r>
  <r>
    <n v="1154"/>
    <s v="2023-09-06"/>
    <x v="4"/>
    <x v="0"/>
    <n v="4053"/>
    <n v="913"/>
    <x v="3"/>
    <x v="1"/>
    <n v="0.22526523562792994"/>
    <x v="0"/>
    <x v="8"/>
  </r>
  <r>
    <n v="1299"/>
    <s v="2023-09-06"/>
    <x v="4"/>
    <x v="2"/>
    <n v="4146"/>
    <n v="131"/>
    <x v="3"/>
    <x v="1"/>
    <n v="3.1596719729860105E-2"/>
    <x v="0"/>
    <x v="8"/>
  </r>
  <r>
    <n v="1365"/>
    <s v="2023-09-06"/>
    <x v="0"/>
    <x v="1"/>
    <n v="4993"/>
    <n v="285"/>
    <x v="0"/>
    <x v="1"/>
    <n v="5.7079911876627275E-2"/>
    <x v="0"/>
    <x v="8"/>
  </r>
  <r>
    <n v="1408"/>
    <s v="2023-09-07"/>
    <x v="3"/>
    <x v="1"/>
    <n v="2894"/>
    <n v="503"/>
    <x v="0"/>
    <x v="0"/>
    <n v="0.17380787836903938"/>
    <x v="0"/>
    <x v="8"/>
  </r>
  <r>
    <n v="1494"/>
    <s v="2023-09-07"/>
    <x v="2"/>
    <x v="2"/>
    <n v="2817"/>
    <n v="702"/>
    <x v="0"/>
    <x v="1"/>
    <n v="0.24920127795527156"/>
    <x v="0"/>
    <x v="8"/>
  </r>
  <r>
    <n v="1510"/>
    <s v="2023-09-07"/>
    <x v="2"/>
    <x v="2"/>
    <n v="1925"/>
    <n v="552"/>
    <x v="0"/>
    <x v="0"/>
    <n v="0.28675324675324676"/>
    <x v="0"/>
    <x v="8"/>
  </r>
  <r>
    <n v="1662"/>
    <s v="2023-09-07"/>
    <x v="6"/>
    <x v="2"/>
    <n v="343"/>
    <n v="639"/>
    <x v="0"/>
    <x v="0"/>
    <n v="1.8629737609329446"/>
    <x v="0"/>
    <x v="8"/>
  </r>
  <r>
    <n v="1722"/>
    <s v="2023-09-07"/>
    <x v="1"/>
    <x v="0"/>
    <n v="960"/>
    <n v="170"/>
    <x v="1"/>
    <x v="1"/>
    <n v="0.17708333333333334"/>
    <x v="0"/>
    <x v="8"/>
  </r>
  <r>
    <n v="1859"/>
    <s v="2023-09-07"/>
    <x v="3"/>
    <x v="0"/>
    <n v="3218"/>
    <n v="708"/>
    <x v="2"/>
    <x v="1"/>
    <n v="0.22001243008079552"/>
    <x v="0"/>
    <x v="8"/>
  </r>
  <r>
    <n v="1241"/>
    <s v="2023-09-08"/>
    <x v="1"/>
    <x v="0"/>
    <n v="4366"/>
    <n v="33"/>
    <x v="0"/>
    <x v="1"/>
    <n v="7.5584058634906096E-3"/>
    <x v="0"/>
    <x v="8"/>
  </r>
  <r>
    <n v="1288"/>
    <s v="2023-09-08"/>
    <x v="0"/>
    <x v="1"/>
    <n v="4440"/>
    <n v="978"/>
    <x v="1"/>
    <x v="1"/>
    <n v="0.22027027027027027"/>
    <x v="0"/>
    <x v="8"/>
  </r>
  <r>
    <n v="1559"/>
    <s v="2023-09-08"/>
    <x v="0"/>
    <x v="0"/>
    <n v="3478"/>
    <n v="159"/>
    <x v="1"/>
    <x v="1"/>
    <n v="4.5715928694652096E-2"/>
    <x v="0"/>
    <x v="8"/>
  </r>
  <r>
    <n v="1652"/>
    <s v="2023-09-08"/>
    <x v="3"/>
    <x v="0"/>
    <n v="2464"/>
    <n v="197"/>
    <x v="0"/>
    <x v="1"/>
    <n v="7.9951298701298704E-2"/>
    <x v="0"/>
    <x v="8"/>
  </r>
  <r>
    <n v="1650"/>
    <s v="2023-09-09"/>
    <x v="1"/>
    <x v="2"/>
    <n v="1779"/>
    <n v="845"/>
    <x v="3"/>
    <x v="0"/>
    <n v="0.47498594716132658"/>
    <x v="0"/>
    <x v="8"/>
  </r>
  <r>
    <n v="1694"/>
    <s v="2023-09-09"/>
    <x v="6"/>
    <x v="1"/>
    <n v="4691"/>
    <n v="469"/>
    <x v="0"/>
    <x v="0"/>
    <n v="9.9978682583670861E-2"/>
    <x v="0"/>
    <x v="8"/>
  </r>
  <r>
    <n v="1761"/>
    <s v="2023-09-09"/>
    <x v="4"/>
    <x v="0"/>
    <n v="574"/>
    <n v="340"/>
    <x v="2"/>
    <x v="0"/>
    <n v="0.59233449477351918"/>
    <x v="0"/>
    <x v="8"/>
  </r>
  <r>
    <n v="1391"/>
    <s v="2023-09-10"/>
    <x v="5"/>
    <x v="1"/>
    <n v="1188"/>
    <n v="248"/>
    <x v="3"/>
    <x v="0"/>
    <n v="0.20875420875420875"/>
    <x v="0"/>
    <x v="8"/>
  </r>
  <r>
    <n v="1971"/>
    <s v="2023-09-10"/>
    <x v="5"/>
    <x v="2"/>
    <n v="3457"/>
    <n v="983"/>
    <x v="1"/>
    <x v="1"/>
    <n v="0.28435059299971072"/>
    <x v="0"/>
    <x v="8"/>
  </r>
  <r>
    <n v="1089"/>
    <s v="2023-09-11"/>
    <x v="4"/>
    <x v="0"/>
    <n v="983"/>
    <n v="251"/>
    <x v="0"/>
    <x v="0"/>
    <n v="0.25534079348931843"/>
    <x v="0"/>
    <x v="8"/>
  </r>
  <r>
    <n v="1553"/>
    <s v="2023-09-11"/>
    <x v="0"/>
    <x v="1"/>
    <n v="2950"/>
    <n v="888"/>
    <x v="3"/>
    <x v="0"/>
    <n v="0.30101694915254235"/>
    <x v="0"/>
    <x v="8"/>
  </r>
  <r>
    <n v="1840"/>
    <s v="2023-09-12"/>
    <x v="2"/>
    <x v="0"/>
    <n v="1323"/>
    <n v="91"/>
    <x v="0"/>
    <x v="1"/>
    <n v="6.8783068783068779E-2"/>
    <x v="0"/>
    <x v="8"/>
  </r>
  <r>
    <n v="1308"/>
    <s v="2023-09-14"/>
    <x v="3"/>
    <x v="1"/>
    <n v="4336"/>
    <n v="323"/>
    <x v="2"/>
    <x v="0"/>
    <n v="7.4492619926199266E-2"/>
    <x v="0"/>
    <x v="8"/>
  </r>
  <r>
    <n v="1346"/>
    <s v="2023-09-14"/>
    <x v="1"/>
    <x v="0"/>
    <n v="1168"/>
    <n v="381"/>
    <x v="0"/>
    <x v="1"/>
    <n v="0.3261986301369863"/>
    <x v="0"/>
    <x v="8"/>
  </r>
  <r>
    <n v="1387"/>
    <s v="2023-09-14"/>
    <x v="6"/>
    <x v="0"/>
    <n v="2730"/>
    <n v="881"/>
    <x v="3"/>
    <x v="1"/>
    <n v="0.32271062271062273"/>
    <x v="0"/>
    <x v="8"/>
  </r>
  <r>
    <n v="1469"/>
    <s v="2023-09-14"/>
    <x v="3"/>
    <x v="0"/>
    <n v="3917"/>
    <n v="860"/>
    <x v="1"/>
    <x v="1"/>
    <n v="0.21955578248659688"/>
    <x v="0"/>
    <x v="8"/>
  </r>
  <r>
    <n v="1644"/>
    <s v="2023-09-14"/>
    <x v="0"/>
    <x v="1"/>
    <n v="596"/>
    <n v="848"/>
    <x v="1"/>
    <x v="1"/>
    <n v="1.4228187919463087"/>
    <x v="0"/>
    <x v="8"/>
  </r>
  <r>
    <n v="1860"/>
    <s v="2023-09-14"/>
    <x v="2"/>
    <x v="2"/>
    <n v="2453"/>
    <n v="593"/>
    <x v="3"/>
    <x v="0"/>
    <n v="0.24174480228291886"/>
    <x v="0"/>
    <x v="8"/>
  </r>
  <r>
    <n v="1943"/>
    <s v="2023-09-14"/>
    <x v="0"/>
    <x v="2"/>
    <n v="1270"/>
    <n v="336"/>
    <x v="2"/>
    <x v="0"/>
    <n v="0.26456692913385826"/>
    <x v="0"/>
    <x v="8"/>
  </r>
  <r>
    <n v="1958"/>
    <s v="2023-09-15"/>
    <x v="3"/>
    <x v="0"/>
    <n v="4092"/>
    <n v="607"/>
    <x v="2"/>
    <x v="0"/>
    <n v="0.14833822091886609"/>
    <x v="0"/>
    <x v="8"/>
  </r>
  <r>
    <n v="1960"/>
    <s v="2023-09-15"/>
    <x v="5"/>
    <x v="0"/>
    <n v="2150"/>
    <n v="917"/>
    <x v="3"/>
    <x v="0"/>
    <n v="0.42651162790697672"/>
    <x v="0"/>
    <x v="8"/>
  </r>
  <r>
    <n v="1153"/>
    <s v="2023-09-17"/>
    <x v="5"/>
    <x v="2"/>
    <n v="3723"/>
    <n v="91"/>
    <x v="0"/>
    <x v="0"/>
    <n v="2.4442653773838304E-2"/>
    <x v="0"/>
    <x v="8"/>
  </r>
  <r>
    <n v="1017"/>
    <s v="2023-09-18"/>
    <x v="3"/>
    <x v="2"/>
    <n v="4351"/>
    <n v="136"/>
    <x v="2"/>
    <x v="1"/>
    <n v="3.1257182256952426E-2"/>
    <x v="0"/>
    <x v="8"/>
  </r>
  <r>
    <n v="1779"/>
    <s v="2023-09-19"/>
    <x v="0"/>
    <x v="0"/>
    <n v="580"/>
    <n v="81"/>
    <x v="3"/>
    <x v="1"/>
    <n v="0.1396551724137931"/>
    <x v="0"/>
    <x v="8"/>
  </r>
  <r>
    <n v="1441"/>
    <s v="2023-09-20"/>
    <x v="6"/>
    <x v="2"/>
    <n v="286"/>
    <n v="574"/>
    <x v="3"/>
    <x v="1"/>
    <n v="2.0069930069930071"/>
    <x v="0"/>
    <x v="8"/>
  </r>
  <r>
    <n v="1733"/>
    <s v="2023-09-20"/>
    <x v="3"/>
    <x v="0"/>
    <n v="2826"/>
    <n v="821"/>
    <x v="1"/>
    <x v="1"/>
    <n v="0.2905166312809625"/>
    <x v="0"/>
    <x v="8"/>
  </r>
  <r>
    <n v="1895"/>
    <s v="2023-09-20"/>
    <x v="0"/>
    <x v="0"/>
    <n v="4389"/>
    <n v="224"/>
    <x v="1"/>
    <x v="1"/>
    <n v="5.1036682615629984E-2"/>
    <x v="0"/>
    <x v="8"/>
  </r>
  <r>
    <n v="1874"/>
    <s v="2023-09-21"/>
    <x v="0"/>
    <x v="0"/>
    <n v="2433"/>
    <n v="501"/>
    <x v="2"/>
    <x v="1"/>
    <n v="0.2059186189889026"/>
    <x v="0"/>
    <x v="8"/>
  </r>
  <r>
    <n v="1945"/>
    <s v="2023-09-21"/>
    <x v="1"/>
    <x v="1"/>
    <n v="2700"/>
    <n v="414"/>
    <x v="2"/>
    <x v="0"/>
    <n v="0.15333333333333332"/>
    <x v="0"/>
    <x v="8"/>
  </r>
  <r>
    <n v="1200"/>
    <s v="2023-09-22"/>
    <x v="5"/>
    <x v="1"/>
    <n v="3244"/>
    <n v="617"/>
    <x v="1"/>
    <x v="1"/>
    <n v="0.19019728729963009"/>
    <x v="0"/>
    <x v="8"/>
  </r>
  <r>
    <n v="1268"/>
    <s v="2023-09-22"/>
    <x v="6"/>
    <x v="1"/>
    <n v="1401"/>
    <n v="298"/>
    <x v="1"/>
    <x v="1"/>
    <n v="0.21270521056388295"/>
    <x v="0"/>
    <x v="8"/>
  </r>
  <r>
    <n v="1416"/>
    <s v="2023-09-22"/>
    <x v="1"/>
    <x v="2"/>
    <n v="2713"/>
    <n v="657"/>
    <x v="0"/>
    <x v="0"/>
    <n v="0.24216734242535939"/>
    <x v="0"/>
    <x v="8"/>
  </r>
  <r>
    <n v="1534"/>
    <s v="2023-09-22"/>
    <x v="4"/>
    <x v="1"/>
    <n v="2703"/>
    <n v="577"/>
    <x v="3"/>
    <x v="1"/>
    <n v="0.21346651868294489"/>
    <x v="0"/>
    <x v="8"/>
  </r>
  <r>
    <n v="1698"/>
    <s v="2023-09-22"/>
    <x v="3"/>
    <x v="1"/>
    <n v="690"/>
    <n v="531"/>
    <x v="3"/>
    <x v="0"/>
    <n v="0.76956521739130435"/>
    <x v="0"/>
    <x v="8"/>
  </r>
  <r>
    <n v="1352"/>
    <s v="2023-09-23"/>
    <x v="1"/>
    <x v="1"/>
    <n v="1816"/>
    <n v="145"/>
    <x v="1"/>
    <x v="0"/>
    <n v="7.9845814977973564E-2"/>
    <x v="0"/>
    <x v="8"/>
  </r>
  <r>
    <n v="1430"/>
    <s v="2023-09-23"/>
    <x v="6"/>
    <x v="1"/>
    <n v="3149"/>
    <n v="927"/>
    <x v="1"/>
    <x v="0"/>
    <n v="0.29437916798983804"/>
    <x v="0"/>
    <x v="8"/>
  </r>
  <r>
    <n v="1473"/>
    <s v="2023-09-23"/>
    <x v="5"/>
    <x v="0"/>
    <n v="2562"/>
    <n v="548"/>
    <x v="3"/>
    <x v="1"/>
    <n v="0.21389539422326306"/>
    <x v="0"/>
    <x v="8"/>
  </r>
  <r>
    <n v="1674"/>
    <s v="2023-09-23"/>
    <x v="2"/>
    <x v="0"/>
    <n v="2440"/>
    <n v="891"/>
    <x v="2"/>
    <x v="0"/>
    <n v="0.36516393442622952"/>
    <x v="0"/>
    <x v="8"/>
  </r>
  <r>
    <n v="1769"/>
    <s v="2023-09-23"/>
    <x v="5"/>
    <x v="2"/>
    <n v="2173"/>
    <n v="989"/>
    <x v="1"/>
    <x v="0"/>
    <n v="0.45513115508513574"/>
    <x v="0"/>
    <x v="8"/>
  </r>
  <r>
    <n v="1064"/>
    <s v="2023-09-24"/>
    <x v="2"/>
    <x v="1"/>
    <n v="4056"/>
    <n v="537"/>
    <x v="2"/>
    <x v="0"/>
    <n v="0.13239644970414202"/>
    <x v="0"/>
    <x v="8"/>
  </r>
  <r>
    <n v="1323"/>
    <s v="2023-09-24"/>
    <x v="1"/>
    <x v="2"/>
    <n v="1238"/>
    <n v="425"/>
    <x v="1"/>
    <x v="1"/>
    <n v="0.34329563812600972"/>
    <x v="0"/>
    <x v="8"/>
  </r>
  <r>
    <n v="1291"/>
    <s v="2023-09-25"/>
    <x v="1"/>
    <x v="1"/>
    <n v="1860"/>
    <n v="826"/>
    <x v="1"/>
    <x v="0"/>
    <n v="0.44408602150537635"/>
    <x v="0"/>
    <x v="8"/>
  </r>
  <r>
    <n v="1570"/>
    <s v="2023-09-26"/>
    <x v="0"/>
    <x v="2"/>
    <n v="930"/>
    <n v="268"/>
    <x v="2"/>
    <x v="0"/>
    <n v="0.28817204301075267"/>
    <x v="0"/>
    <x v="8"/>
  </r>
  <r>
    <n v="1227"/>
    <s v="2023-09-27"/>
    <x v="6"/>
    <x v="0"/>
    <n v="3403"/>
    <n v="188"/>
    <x v="0"/>
    <x v="1"/>
    <n v="5.5245371730825742E-2"/>
    <x v="0"/>
    <x v="8"/>
  </r>
  <r>
    <n v="1326"/>
    <s v="2023-09-27"/>
    <x v="4"/>
    <x v="1"/>
    <n v="1620"/>
    <n v="251"/>
    <x v="0"/>
    <x v="1"/>
    <n v="0.15493827160493828"/>
    <x v="0"/>
    <x v="8"/>
  </r>
  <r>
    <n v="1362"/>
    <s v="2023-09-27"/>
    <x v="5"/>
    <x v="1"/>
    <n v="1749"/>
    <n v="143"/>
    <x v="0"/>
    <x v="0"/>
    <n v="8.1761006289308172E-2"/>
    <x v="0"/>
    <x v="8"/>
  </r>
  <r>
    <n v="1863"/>
    <s v="2023-09-27"/>
    <x v="6"/>
    <x v="0"/>
    <n v="4808"/>
    <n v="90"/>
    <x v="2"/>
    <x v="0"/>
    <n v="1.8718801996672214E-2"/>
    <x v="0"/>
    <x v="8"/>
  </r>
  <r>
    <n v="1956"/>
    <s v="2023-09-27"/>
    <x v="5"/>
    <x v="1"/>
    <n v="4413"/>
    <n v="834"/>
    <x v="1"/>
    <x v="0"/>
    <n v="0.18898708361658736"/>
    <x v="0"/>
    <x v="8"/>
  </r>
  <r>
    <n v="1240"/>
    <s v="2023-09-28"/>
    <x v="6"/>
    <x v="2"/>
    <n v="1274"/>
    <n v="221"/>
    <x v="2"/>
    <x v="1"/>
    <n v="0.17346938775510204"/>
    <x v="0"/>
    <x v="8"/>
  </r>
  <r>
    <n v="1397"/>
    <s v="2023-09-29"/>
    <x v="3"/>
    <x v="1"/>
    <n v="2498"/>
    <n v="724"/>
    <x v="2"/>
    <x v="1"/>
    <n v="0.28983186549239393"/>
    <x v="0"/>
    <x v="8"/>
  </r>
  <r>
    <n v="1950"/>
    <s v="2023-09-29"/>
    <x v="3"/>
    <x v="1"/>
    <n v="1233"/>
    <n v="843"/>
    <x v="0"/>
    <x v="0"/>
    <n v="0.68369829683698302"/>
    <x v="0"/>
    <x v="8"/>
  </r>
  <r>
    <n v="1828"/>
    <s v="2023-09-30"/>
    <x v="5"/>
    <x v="1"/>
    <n v="277"/>
    <n v="477"/>
    <x v="1"/>
    <x v="0"/>
    <n v="1.7220216606498195"/>
    <x v="0"/>
    <x v="8"/>
  </r>
  <r>
    <n v="1041"/>
    <s v="2023-10-01"/>
    <x v="1"/>
    <x v="0"/>
    <n v="2205"/>
    <n v="637"/>
    <x v="0"/>
    <x v="0"/>
    <n v="0.28888888888888886"/>
    <x v="0"/>
    <x v="9"/>
  </r>
  <r>
    <n v="1336"/>
    <s v="2023-10-01"/>
    <x v="1"/>
    <x v="1"/>
    <n v="1064"/>
    <n v="481"/>
    <x v="0"/>
    <x v="0"/>
    <n v="0.45206766917293234"/>
    <x v="0"/>
    <x v="9"/>
  </r>
  <r>
    <n v="1400"/>
    <s v="2023-10-01"/>
    <x v="5"/>
    <x v="0"/>
    <n v="2635"/>
    <n v="913"/>
    <x v="0"/>
    <x v="0"/>
    <n v="0.34648956356736244"/>
    <x v="0"/>
    <x v="9"/>
  </r>
  <r>
    <n v="1576"/>
    <s v="2023-10-01"/>
    <x v="4"/>
    <x v="1"/>
    <n v="4533"/>
    <n v="885"/>
    <x v="2"/>
    <x v="0"/>
    <n v="0.19523494374586367"/>
    <x v="0"/>
    <x v="9"/>
  </r>
  <r>
    <n v="1096"/>
    <s v="2023-10-02"/>
    <x v="2"/>
    <x v="1"/>
    <n v="975"/>
    <n v="883"/>
    <x v="2"/>
    <x v="0"/>
    <n v="0.90564102564102567"/>
    <x v="0"/>
    <x v="9"/>
  </r>
  <r>
    <n v="1256"/>
    <s v="2023-10-02"/>
    <x v="5"/>
    <x v="2"/>
    <n v="900"/>
    <n v="616"/>
    <x v="3"/>
    <x v="1"/>
    <n v="0.68444444444444441"/>
    <x v="0"/>
    <x v="9"/>
  </r>
  <r>
    <n v="1332"/>
    <s v="2023-10-02"/>
    <x v="5"/>
    <x v="1"/>
    <n v="681"/>
    <n v="350"/>
    <x v="2"/>
    <x v="0"/>
    <n v="0.51395007342143906"/>
    <x v="0"/>
    <x v="9"/>
  </r>
  <r>
    <n v="1463"/>
    <s v="2023-10-02"/>
    <x v="1"/>
    <x v="0"/>
    <n v="2808"/>
    <n v="982"/>
    <x v="0"/>
    <x v="1"/>
    <n v="0.34971509971509973"/>
    <x v="0"/>
    <x v="9"/>
  </r>
  <r>
    <n v="1189"/>
    <s v="2023-10-03"/>
    <x v="0"/>
    <x v="1"/>
    <n v="2286"/>
    <n v="431"/>
    <x v="2"/>
    <x v="1"/>
    <n v="0.18853893263342084"/>
    <x v="0"/>
    <x v="9"/>
  </r>
  <r>
    <n v="1669"/>
    <s v="2023-10-04"/>
    <x v="0"/>
    <x v="2"/>
    <n v="182"/>
    <n v="682"/>
    <x v="3"/>
    <x v="1"/>
    <n v="3.7472527472527473"/>
    <x v="0"/>
    <x v="9"/>
  </r>
  <r>
    <n v="1915"/>
    <s v="2023-10-04"/>
    <x v="1"/>
    <x v="2"/>
    <n v="327"/>
    <n v="99"/>
    <x v="3"/>
    <x v="1"/>
    <n v="0.30275229357798167"/>
    <x v="0"/>
    <x v="9"/>
  </r>
  <r>
    <n v="1206"/>
    <s v="2023-10-05"/>
    <x v="3"/>
    <x v="1"/>
    <n v="4619"/>
    <n v="567"/>
    <x v="2"/>
    <x v="0"/>
    <n v="0.12275384282312189"/>
    <x v="0"/>
    <x v="9"/>
  </r>
  <r>
    <n v="1305"/>
    <s v="2023-10-05"/>
    <x v="0"/>
    <x v="1"/>
    <n v="4879"/>
    <n v="286"/>
    <x v="2"/>
    <x v="0"/>
    <n v="5.86185693789711E-2"/>
    <x v="0"/>
    <x v="9"/>
  </r>
  <r>
    <n v="1445"/>
    <s v="2023-10-05"/>
    <x v="2"/>
    <x v="2"/>
    <n v="3706"/>
    <n v="454"/>
    <x v="2"/>
    <x v="0"/>
    <n v="0.12250404749055585"/>
    <x v="0"/>
    <x v="9"/>
  </r>
  <r>
    <n v="1993"/>
    <s v="2023-10-05"/>
    <x v="2"/>
    <x v="0"/>
    <n v="1157"/>
    <n v="630"/>
    <x v="3"/>
    <x v="0"/>
    <n v="0.54451166810717377"/>
    <x v="0"/>
    <x v="9"/>
  </r>
  <r>
    <n v="1086"/>
    <s v="2023-10-06"/>
    <x v="2"/>
    <x v="0"/>
    <n v="1088"/>
    <n v="290"/>
    <x v="3"/>
    <x v="1"/>
    <n v="0.26654411764705882"/>
    <x v="0"/>
    <x v="9"/>
  </r>
  <r>
    <n v="1131"/>
    <s v="2023-10-06"/>
    <x v="2"/>
    <x v="1"/>
    <n v="4469"/>
    <n v="193"/>
    <x v="2"/>
    <x v="1"/>
    <n v="4.3186395166703959E-2"/>
    <x v="0"/>
    <x v="9"/>
  </r>
  <r>
    <n v="1209"/>
    <s v="2023-10-06"/>
    <x v="4"/>
    <x v="1"/>
    <n v="4113"/>
    <n v="266"/>
    <x v="3"/>
    <x v="0"/>
    <n v="6.467298808655482E-2"/>
    <x v="0"/>
    <x v="9"/>
  </r>
  <r>
    <n v="1316"/>
    <s v="2023-10-06"/>
    <x v="1"/>
    <x v="2"/>
    <n v="3051"/>
    <n v="274"/>
    <x v="1"/>
    <x v="1"/>
    <n v="8.9806620780072108E-2"/>
    <x v="0"/>
    <x v="9"/>
  </r>
  <r>
    <n v="1637"/>
    <s v="2023-10-06"/>
    <x v="3"/>
    <x v="1"/>
    <n v="1436"/>
    <n v="525"/>
    <x v="2"/>
    <x v="0"/>
    <n v="0.36559888579387184"/>
    <x v="0"/>
    <x v="9"/>
  </r>
  <r>
    <n v="1060"/>
    <s v="2023-10-08"/>
    <x v="3"/>
    <x v="2"/>
    <n v="2929"/>
    <n v="284"/>
    <x v="3"/>
    <x v="1"/>
    <n v="9.6961420279959035E-2"/>
    <x v="0"/>
    <x v="9"/>
  </r>
  <r>
    <n v="1056"/>
    <s v="2023-10-09"/>
    <x v="5"/>
    <x v="0"/>
    <n v="2346"/>
    <n v="209"/>
    <x v="0"/>
    <x v="0"/>
    <n v="8.9087809036658139E-2"/>
    <x v="0"/>
    <x v="9"/>
  </r>
  <r>
    <n v="1480"/>
    <s v="2023-10-09"/>
    <x v="3"/>
    <x v="2"/>
    <n v="3777"/>
    <n v="79"/>
    <x v="1"/>
    <x v="0"/>
    <n v="2.0916070955785016E-2"/>
    <x v="0"/>
    <x v="9"/>
  </r>
  <r>
    <n v="1640"/>
    <s v="2023-10-09"/>
    <x v="6"/>
    <x v="1"/>
    <n v="919"/>
    <n v="407"/>
    <x v="0"/>
    <x v="1"/>
    <n v="0.4428726877040261"/>
    <x v="0"/>
    <x v="9"/>
  </r>
  <r>
    <n v="1838"/>
    <s v="2023-10-09"/>
    <x v="4"/>
    <x v="0"/>
    <n v="1878"/>
    <n v="294"/>
    <x v="3"/>
    <x v="0"/>
    <n v="0.15654952076677317"/>
    <x v="0"/>
    <x v="9"/>
  </r>
  <r>
    <n v="1237"/>
    <s v="2023-10-10"/>
    <x v="4"/>
    <x v="0"/>
    <n v="3559"/>
    <n v="785"/>
    <x v="3"/>
    <x v="1"/>
    <n v="0.22056757516156222"/>
    <x v="0"/>
    <x v="9"/>
  </r>
  <r>
    <n v="1236"/>
    <s v="2023-10-11"/>
    <x v="3"/>
    <x v="0"/>
    <n v="3191"/>
    <n v="79"/>
    <x v="0"/>
    <x v="1"/>
    <n v="2.4757129426512064E-2"/>
    <x v="0"/>
    <x v="9"/>
  </r>
  <r>
    <n v="1351"/>
    <s v="2023-10-12"/>
    <x v="1"/>
    <x v="0"/>
    <n v="4651"/>
    <n v="721"/>
    <x v="2"/>
    <x v="1"/>
    <n v="0.15502042571490002"/>
    <x v="0"/>
    <x v="9"/>
  </r>
  <r>
    <n v="1474"/>
    <s v="2023-10-12"/>
    <x v="2"/>
    <x v="1"/>
    <n v="4285"/>
    <n v="847"/>
    <x v="2"/>
    <x v="0"/>
    <n v="0.19766627771295217"/>
    <x v="0"/>
    <x v="9"/>
  </r>
  <r>
    <n v="1563"/>
    <s v="2023-10-12"/>
    <x v="0"/>
    <x v="0"/>
    <n v="2075"/>
    <n v="340"/>
    <x v="1"/>
    <x v="0"/>
    <n v="0.16385542168674699"/>
    <x v="0"/>
    <x v="9"/>
  </r>
  <r>
    <n v="1625"/>
    <s v="2023-10-12"/>
    <x v="0"/>
    <x v="1"/>
    <n v="4919"/>
    <n v="42"/>
    <x v="2"/>
    <x v="1"/>
    <n v="8.5383207969099411E-3"/>
    <x v="0"/>
    <x v="9"/>
  </r>
  <r>
    <n v="1702"/>
    <s v="2023-10-12"/>
    <x v="2"/>
    <x v="1"/>
    <n v="2005"/>
    <n v="541"/>
    <x v="1"/>
    <x v="0"/>
    <n v="0.26982543640897755"/>
    <x v="0"/>
    <x v="9"/>
  </r>
  <r>
    <n v="1149"/>
    <s v="2023-10-13"/>
    <x v="1"/>
    <x v="1"/>
    <n v="3530"/>
    <n v="762"/>
    <x v="0"/>
    <x v="0"/>
    <n v="0.21586402266288951"/>
    <x v="0"/>
    <x v="9"/>
  </r>
  <r>
    <n v="1321"/>
    <s v="2023-10-13"/>
    <x v="5"/>
    <x v="0"/>
    <n v="4377"/>
    <n v="223"/>
    <x v="2"/>
    <x v="0"/>
    <n v="5.094813799405986E-2"/>
    <x v="0"/>
    <x v="9"/>
  </r>
  <r>
    <n v="1406"/>
    <s v="2023-10-13"/>
    <x v="6"/>
    <x v="0"/>
    <n v="3213"/>
    <n v="765"/>
    <x v="1"/>
    <x v="1"/>
    <n v="0.23809523809523808"/>
    <x v="0"/>
    <x v="9"/>
  </r>
  <r>
    <n v="1830"/>
    <s v="2023-10-13"/>
    <x v="2"/>
    <x v="2"/>
    <n v="2595"/>
    <n v="893"/>
    <x v="1"/>
    <x v="0"/>
    <n v="0.34412331406551061"/>
    <x v="0"/>
    <x v="9"/>
  </r>
  <r>
    <n v="1832"/>
    <s v="2023-10-13"/>
    <x v="4"/>
    <x v="0"/>
    <n v="2338"/>
    <n v="826"/>
    <x v="2"/>
    <x v="0"/>
    <n v="0.3532934131736527"/>
    <x v="0"/>
    <x v="9"/>
  </r>
  <r>
    <n v="1263"/>
    <s v="2023-10-14"/>
    <x v="6"/>
    <x v="0"/>
    <n v="3553"/>
    <n v="526"/>
    <x v="2"/>
    <x v="0"/>
    <n v="0.14804390655783844"/>
    <x v="0"/>
    <x v="9"/>
  </r>
  <r>
    <n v="1376"/>
    <s v="2023-10-14"/>
    <x v="6"/>
    <x v="1"/>
    <n v="2138"/>
    <n v="421"/>
    <x v="1"/>
    <x v="1"/>
    <n v="0.19691300280636109"/>
    <x v="0"/>
    <x v="9"/>
  </r>
  <r>
    <n v="1679"/>
    <s v="2023-10-14"/>
    <x v="2"/>
    <x v="0"/>
    <n v="4610"/>
    <n v="245"/>
    <x v="3"/>
    <x v="0"/>
    <n v="5.3145336225596529E-2"/>
    <x v="0"/>
    <x v="9"/>
  </r>
  <r>
    <n v="1003"/>
    <s v="2023-10-15"/>
    <x v="6"/>
    <x v="0"/>
    <n v="908"/>
    <n v="465"/>
    <x v="1"/>
    <x v="1"/>
    <n v="0.51211453744493396"/>
    <x v="0"/>
    <x v="9"/>
  </r>
  <r>
    <n v="1028"/>
    <s v="2023-10-16"/>
    <x v="2"/>
    <x v="2"/>
    <n v="1615"/>
    <n v="740"/>
    <x v="3"/>
    <x v="0"/>
    <n v="0.45820433436532509"/>
    <x v="0"/>
    <x v="9"/>
  </r>
  <r>
    <n v="1580"/>
    <s v="2023-10-16"/>
    <x v="0"/>
    <x v="1"/>
    <n v="191"/>
    <n v="126"/>
    <x v="3"/>
    <x v="0"/>
    <n v="0.65968586387434558"/>
    <x v="0"/>
    <x v="9"/>
  </r>
  <r>
    <n v="1684"/>
    <s v="2023-10-16"/>
    <x v="3"/>
    <x v="1"/>
    <n v="940"/>
    <n v="764"/>
    <x v="3"/>
    <x v="1"/>
    <n v="0.81276595744680846"/>
    <x v="0"/>
    <x v="9"/>
  </r>
  <r>
    <n v="1062"/>
    <s v="2023-10-17"/>
    <x v="5"/>
    <x v="2"/>
    <n v="3553"/>
    <n v="198"/>
    <x v="2"/>
    <x v="1"/>
    <n v="5.5727554179566562E-2"/>
    <x v="0"/>
    <x v="9"/>
  </r>
  <r>
    <n v="1318"/>
    <s v="2023-10-17"/>
    <x v="1"/>
    <x v="1"/>
    <n v="2960"/>
    <n v="825"/>
    <x v="0"/>
    <x v="0"/>
    <n v="0.27871621621621623"/>
    <x v="0"/>
    <x v="9"/>
  </r>
  <r>
    <n v="1500"/>
    <s v="2023-10-17"/>
    <x v="3"/>
    <x v="0"/>
    <n v="869"/>
    <n v="815"/>
    <x v="1"/>
    <x v="1"/>
    <n v="0.93785960874568475"/>
    <x v="0"/>
    <x v="9"/>
  </r>
  <r>
    <n v="1678"/>
    <s v="2023-10-18"/>
    <x v="2"/>
    <x v="2"/>
    <n v="2893"/>
    <n v="830"/>
    <x v="3"/>
    <x v="0"/>
    <n v="0.28689941237469757"/>
    <x v="0"/>
    <x v="9"/>
  </r>
  <r>
    <n v="1879"/>
    <s v="2023-10-18"/>
    <x v="4"/>
    <x v="0"/>
    <n v="122"/>
    <n v="805"/>
    <x v="3"/>
    <x v="0"/>
    <n v="6.5983606557377046"/>
    <x v="0"/>
    <x v="9"/>
  </r>
  <r>
    <n v="1883"/>
    <s v="2023-10-18"/>
    <x v="1"/>
    <x v="2"/>
    <n v="171"/>
    <n v="436"/>
    <x v="0"/>
    <x v="1"/>
    <n v="2.5497076023391814"/>
    <x v="0"/>
    <x v="9"/>
  </r>
  <r>
    <n v="1020"/>
    <s v="2023-10-19"/>
    <x v="5"/>
    <x v="0"/>
    <n v="829"/>
    <n v="684"/>
    <x v="3"/>
    <x v="1"/>
    <n v="0.82509047044632089"/>
    <x v="0"/>
    <x v="9"/>
  </r>
  <r>
    <n v="1094"/>
    <s v="2023-10-19"/>
    <x v="6"/>
    <x v="2"/>
    <n v="3280"/>
    <n v="976"/>
    <x v="0"/>
    <x v="0"/>
    <n v="0.29756097560975608"/>
    <x v="0"/>
    <x v="9"/>
  </r>
  <r>
    <n v="1257"/>
    <s v="2023-10-19"/>
    <x v="5"/>
    <x v="0"/>
    <n v="1940"/>
    <n v="867"/>
    <x v="0"/>
    <x v="1"/>
    <n v="0.44690721649484538"/>
    <x v="0"/>
    <x v="9"/>
  </r>
  <r>
    <n v="1289"/>
    <s v="2023-10-19"/>
    <x v="1"/>
    <x v="1"/>
    <n v="909"/>
    <n v="700"/>
    <x v="1"/>
    <x v="1"/>
    <n v="0.77007700770077003"/>
    <x v="0"/>
    <x v="9"/>
  </r>
  <r>
    <n v="1228"/>
    <s v="2023-10-20"/>
    <x v="4"/>
    <x v="1"/>
    <n v="4788"/>
    <n v="319"/>
    <x v="0"/>
    <x v="1"/>
    <n v="6.662489557226399E-2"/>
    <x v="0"/>
    <x v="9"/>
  </r>
  <r>
    <n v="1359"/>
    <s v="2023-10-20"/>
    <x v="2"/>
    <x v="1"/>
    <n v="3384"/>
    <n v="653"/>
    <x v="1"/>
    <x v="0"/>
    <n v="0.19296690307328604"/>
    <x v="0"/>
    <x v="9"/>
  </r>
  <r>
    <n v="1845"/>
    <s v="2023-10-20"/>
    <x v="1"/>
    <x v="0"/>
    <n v="4813"/>
    <n v="666"/>
    <x v="0"/>
    <x v="1"/>
    <n v="0.13837523374194888"/>
    <x v="0"/>
    <x v="9"/>
  </r>
  <r>
    <n v="1916"/>
    <s v="2023-10-20"/>
    <x v="0"/>
    <x v="1"/>
    <n v="1254"/>
    <n v="634"/>
    <x v="1"/>
    <x v="1"/>
    <n v="0.50558213716108458"/>
    <x v="0"/>
    <x v="9"/>
  </r>
  <r>
    <n v="1204"/>
    <s v="2023-10-21"/>
    <x v="0"/>
    <x v="0"/>
    <n v="4845"/>
    <n v="922"/>
    <x v="3"/>
    <x v="0"/>
    <n v="0.19029927760577917"/>
    <x v="0"/>
    <x v="9"/>
  </r>
  <r>
    <n v="1271"/>
    <s v="2023-10-21"/>
    <x v="1"/>
    <x v="0"/>
    <n v="141"/>
    <n v="180"/>
    <x v="3"/>
    <x v="0"/>
    <n v="1.2765957446808511"/>
    <x v="0"/>
    <x v="9"/>
  </r>
  <r>
    <n v="1700"/>
    <s v="2023-10-21"/>
    <x v="1"/>
    <x v="2"/>
    <n v="3836"/>
    <n v="774"/>
    <x v="1"/>
    <x v="0"/>
    <n v="0.20177267987486966"/>
    <x v="0"/>
    <x v="9"/>
  </r>
  <r>
    <n v="1477"/>
    <s v="2023-10-22"/>
    <x v="5"/>
    <x v="2"/>
    <n v="2484"/>
    <n v="872"/>
    <x v="2"/>
    <x v="0"/>
    <n v="0.35104669887278583"/>
    <x v="0"/>
    <x v="9"/>
  </r>
  <r>
    <n v="1181"/>
    <s v="2023-10-23"/>
    <x v="0"/>
    <x v="2"/>
    <n v="3750"/>
    <n v="464"/>
    <x v="2"/>
    <x v="1"/>
    <n v="0.12373333333333333"/>
    <x v="0"/>
    <x v="9"/>
  </r>
  <r>
    <n v="1243"/>
    <s v="2023-10-23"/>
    <x v="3"/>
    <x v="0"/>
    <n v="4777"/>
    <n v="159"/>
    <x v="2"/>
    <x v="1"/>
    <n v="3.3284488172493194E-2"/>
    <x v="0"/>
    <x v="9"/>
  </r>
  <r>
    <n v="1906"/>
    <s v="2023-10-24"/>
    <x v="0"/>
    <x v="2"/>
    <n v="3184"/>
    <n v="932"/>
    <x v="3"/>
    <x v="0"/>
    <n v="0.292713567839196"/>
    <x v="0"/>
    <x v="9"/>
  </r>
  <r>
    <n v="1968"/>
    <s v="2023-10-24"/>
    <x v="3"/>
    <x v="1"/>
    <n v="2364"/>
    <n v="253"/>
    <x v="2"/>
    <x v="0"/>
    <n v="0.10702199661590525"/>
    <x v="0"/>
    <x v="9"/>
  </r>
  <r>
    <n v="1626"/>
    <s v="2023-10-25"/>
    <x v="1"/>
    <x v="2"/>
    <n v="4350"/>
    <n v="190"/>
    <x v="0"/>
    <x v="0"/>
    <n v="4.3678160919540229E-2"/>
    <x v="0"/>
    <x v="9"/>
  </r>
  <r>
    <n v="1695"/>
    <s v="2023-10-25"/>
    <x v="6"/>
    <x v="0"/>
    <n v="2857"/>
    <n v="20"/>
    <x v="2"/>
    <x v="1"/>
    <n v="7.0003500175008747E-3"/>
    <x v="0"/>
    <x v="9"/>
  </r>
  <r>
    <n v="1701"/>
    <s v="2023-10-25"/>
    <x v="6"/>
    <x v="2"/>
    <n v="2893"/>
    <n v="59"/>
    <x v="1"/>
    <x v="1"/>
    <n v="2.0394054614586935E-2"/>
    <x v="0"/>
    <x v="9"/>
  </r>
  <r>
    <n v="1148"/>
    <s v="2023-10-26"/>
    <x v="3"/>
    <x v="0"/>
    <n v="1304"/>
    <n v="992"/>
    <x v="3"/>
    <x v="1"/>
    <n v="0.76073619631901845"/>
    <x v="0"/>
    <x v="9"/>
  </r>
  <r>
    <n v="1653"/>
    <s v="2023-10-26"/>
    <x v="2"/>
    <x v="2"/>
    <n v="1863"/>
    <n v="335"/>
    <x v="3"/>
    <x v="0"/>
    <n v="0.17981749865807836"/>
    <x v="0"/>
    <x v="9"/>
  </r>
  <r>
    <n v="1944"/>
    <s v="2023-10-26"/>
    <x v="2"/>
    <x v="2"/>
    <n v="4242"/>
    <n v="444"/>
    <x v="0"/>
    <x v="0"/>
    <n v="0.10466760961810467"/>
    <x v="0"/>
    <x v="9"/>
  </r>
  <r>
    <n v="1187"/>
    <s v="2023-10-27"/>
    <x v="5"/>
    <x v="2"/>
    <n v="4795"/>
    <n v="878"/>
    <x v="0"/>
    <x v="1"/>
    <n v="0.18310740354535976"/>
    <x v="0"/>
    <x v="9"/>
  </r>
  <r>
    <n v="1290"/>
    <s v="2023-10-27"/>
    <x v="3"/>
    <x v="2"/>
    <n v="283"/>
    <n v="577"/>
    <x v="1"/>
    <x v="0"/>
    <n v="2.0388692579505299"/>
    <x v="0"/>
    <x v="9"/>
  </r>
  <r>
    <n v="1371"/>
    <s v="2023-10-27"/>
    <x v="6"/>
    <x v="1"/>
    <n v="1045"/>
    <n v="318"/>
    <x v="3"/>
    <x v="0"/>
    <n v="0.3043062200956938"/>
    <x v="0"/>
    <x v="9"/>
  </r>
  <r>
    <n v="1690"/>
    <s v="2023-10-27"/>
    <x v="4"/>
    <x v="0"/>
    <n v="1261"/>
    <n v="461"/>
    <x v="2"/>
    <x v="1"/>
    <n v="0.36558287073750989"/>
    <x v="0"/>
    <x v="9"/>
  </r>
  <r>
    <n v="1771"/>
    <s v="2023-10-27"/>
    <x v="0"/>
    <x v="2"/>
    <n v="2785"/>
    <n v="474"/>
    <x v="3"/>
    <x v="1"/>
    <n v="0.17019748653500899"/>
    <x v="0"/>
    <x v="9"/>
  </r>
  <r>
    <n v="1899"/>
    <s v="2023-10-27"/>
    <x v="1"/>
    <x v="1"/>
    <n v="381"/>
    <n v="369"/>
    <x v="1"/>
    <x v="1"/>
    <n v="0.96850393700787396"/>
    <x v="0"/>
    <x v="9"/>
  </r>
  <r>
    <n v="1984"/>
    <s v="2023-10-27"/>
    <x v="2"/>
    <x v="1"/>
    <n v="2750"/>
    <n v="107"/>
    <x v="0"/>
    <x v="0"/>
    <n v="3.8909090909090907E-2"/>
    <x v="0"/>
    <x v="9"/>
  </r>
  <r>
    <n v="1179"/>
    <s v="2023-10-28"/>
    <x v="2"/>
    <x v="2"/>
    <n v="3299"/>
    <n v="533"/>
    <x v="0"/>
    <x v="1"/>
    <n v="0.16156411033646559"/>
    <x v="0"/>
    <x v="9"/>
  </r>
  <r>
    <n v="1718"/>
    <s v="2023-10-28"/>
    <x v="6"/>
    <x v="1"/>
    <n v="1083"/>
    <n v="882"/>
    <x v="1"/>
    <x v="1"/>
    <n v="0.81440443213296398"/>
    <x v="0"/>
    <x v="9"/>
  </r>
  <r>
    <n v="1205"/>
    <s v="2023-10-29"/>
    <x v="5"/>
    <x v="1"/>
    <n v="3371"/>
    <n v="915"/>
    <x v="3"/>
    <x v="0"/>
    <n v="0.2714328092554138"/>
    <x v="0"/>
    <x v="9"/>
  </r>
  <r>
    <n v="1455"/>
    <s v="2023-10-30"/>
    <x v="3"/>
    <x v="2"/>
    <n v="2374"/>
    <n v="156"/>
    <x v="3"/>
    <x v="1"/>
    <n v="6.571187868576242E-2"/>
    <x v="0"/>
    <x v="9"/>
  </r>
  <r>
    <n v="1540"/>
    <s v="2023-10-30"/>
    <x v="1"/>
    <x v="1"/>
    <n v="3121"/>
    <n v="93"/>
    <x v="1"/>
    <x v="0"/>
    <n v="2.9798141621275233E-2"/>
    <x v="0"/>
    <x v="9"/>
  </r>
  <r>
    <n v="1762"/>
    <s v="2023-10-30"/>
    <x v="5"/>
    <x v="0"/>
    <n v="4503"/>
    <n v="67"/>
    <x v="2"/>
    <x v="0"/>
    <n v="1.4878969575838331E-2"/>
    <x v="0"/>
    <x v="9"/>
  </r>
  <r>
    <n v="1867"/>
    <s v="2023-10-30"/>
    <x v="0"/>
    <x v="0"/>
    <n v="3817"/>
    <n v="140"/>
    <x v="0"/>
    <x v="1"/>
    <n v="3.6678019386953108E-2"/>
    <x v="0"/>
    <x v="9"/>
  </r>
  <r>
    <n v="1212"/>
    <s v="2023-10-31"/>
    <x v="1"/>
    <x v="2"/>
    <n v="1792"/>
    <n v="847"/>
    <x v="1"/>
    <x v="1"/>
    <n v="0.47265625"/>
    <x v="0"/>
    <x v="9"/>
  </r>
  <r>
    <n v="1575"/>
    <s v="2023-10-31"/>
    <x v="4"/>
    <x v="2"/>
    <n v="2295"/>
    <n v="709"/>
    <x v="0"/>
    <x v="0"/>
    <n v="0.30893246187363832"/>
    <x v="0"/>
    <x v="9"/>
  </r>
  <r>
    <n v="1862"/>
    <s v="2023-10-31"/>
    <x v="2"/>
    <x v="2"/>
    <n v="3439"/>
    <n v="181"/>
    <x v="1"/>
    <x v="0"/>
    <n v="5.2631578947368418E-2"/>
    <x v="0"/>
    <x v="9"/>
  </r>
  <r>
    <n v="1329"/>
    <s v="2023-11-02"/>
    <x v="5"/>
    <x v="0"/>
    <n v="1951"/>
    <n v="596"/>
    <x v="2"/>
    <x v="1"/>
    <n v="0.3054843669912865"/>
    <x v="0"/>
    <x v="10"/>
  </r>
  <r>
    <n v="1523"/>
    <s v="2023-11-02"/>
    <x v="4"/>
    <x v="2"/>
    <n v="145"/>
    <n v="120"/>
    <x v="1"/>
    <x v="0"/>
    <n v="0.82758620689655171"/>
    <x v="0"/>
    <x v="10"/>
  </r>
  <r>
    <n v="1789"/>
    <s v="2023-11-03"/>
    <x v="1"/>
    <x v="1"/>
    <n v="912"/>
    <n v="641"/>
    <x v="2"/>
    <x v="0"/>
    <n v="0.70285087719298245"/>
    <x v="0"/>
    <x v="10"/>
  </r>
  <r>
    <n v="1511"/>
    <s v="2023-11-05"/>
    <x v="5"/>
    <x v="1"/>
    <n v="3328"/>
    <n v="425"/>
    <x v="1"/>
    <x v="1"/>
    <n v="0.12770432692307693"/>
    <x v="0"/>
    <x v="10"/>
  </r>
  <r>
    <n v="1564"/>
    <s v="2023-11-05"/>
    <x v="2"/>
    <x v="0"/>
    <n v="3378"/>
    <n v="749"/>
    <x v="1"/>
    <x v="1"/>
    <n v="0.22172883362936649"/>
    <x v="0"/>
    <x v="10"/>
  </r>
  <r>
    <n v="1948"/>
    <s v="2023-11-05"/>
    <x v="6"/>
    <x v="1"/>
    <n v="1062"/>
    <n v="62"/>
    <x v="0"/>
    <x v="0"/>
    <n v="5.8380414312617701E-2"/>
    <x v="0"/>
    <x v="10"/>
  </r>
  <r>
    <n v="1040"/>
    <s v="2023-11-06"/>
    <x v="2"/>
    <x v="0"/>
    <n v="3877"/>
    <n v="821"/>
    <x v="0"/>
    <x v="1"/>
    <n v="0.21176167139540883"/>
    <x v="0"/>
    <x v="10"/>
  </r>
  <r>
    <n v="1122"/>
    <s v="2023-11-06"/>
    <x v="3"/>
    <x v="0"/>
    <n v="1934"/>
    <n v="470"/>
    <x v="1"/>
    <x v="1"/>
    <n v="0.24301964839710444"/>
    <x v="0"/>
    <x v="10"/>
  </r>
  <r>
    <n v="1127"/>
    <s v="2023-11-06"/>
    <x v="5"/>
    <x v="0"/>
    <n v="4268"/>
    <n v="990"/>
    <x v="2"/>
    <x v="0"/>
    <n v="0.23195876288659795"/>
    <x v="0"/>
    <x v="10"/>
  </r>
  <r>
    <n v="1128"/>
    <s v="2023-11-06"/>
    <x v="2"/>
    <x v="2"/>
    <n v="338"/>
    <n v="263"/>
    <x v="2"/>
    <x v="0"/>
    <n v="0.77810650887573962"/>
    <x v="0"/>
    <x v="10"/>
  </r>
  <r>
    <n v="1248"/>
    <s v="2023-11-06"/>
    <x v="2"/>
    <x v="2"/>
    <n v="3659"/>
    <n v="485"/>
    <x v="1"/>
    <x v="0"/>
    <n v="0.13254987701557802"/>
    <x v="0"/>
    <x v="10"/>
  </r>
  <r>
    <n v="1749"/>
    <s v="2023-11-07"/>
    <x v="1"/>
    <x v="0"/>
    <n v="3485"/>
    <n v="649"/>
    <x v="3"/>
    <x v="0"/>
    <n v="0.18622668579626972"/>
    <x v="0"/>
    <x v="10"/>
  </r>
  <r>
    <n v="1852"/>
    <s v="2023-11-07"/>
    <x v="3"/>
    <x v="1"/>
    <n v="314"/>
    <n v="757"/>
    <x v="2"/>
    <x v="0"/>
    <n v="2.410828025477707"/>
    <x v="0"/>
    <x v="10"/>
  </r>
  <r>
    <n v="1007"/>
    <s v="2023-11-08"/>
    <x v="0"/>
    <x v="1"/>
    <n v="2454"/>
    <n v="385"/>
    <x v="2"/>
    <x v="0"/>
    <n v="0.15688671556642217"/>
    <x v="0"/>
    <x v="10"/>
  </r>
  <r>
    <n v="1115"/>
    <s v="2023-11-08"/>
    <x v="0"/>
    <x v="1"/>
    <n v="4291"/>
    <n v="555"/>
    <x v="0"/>
    <x v="0"/>
    <n v="0.12934048007457469"/>
    <x v="0"/>
    <x v="10"/>
  </r>
  <r>
    <n v="1168"/>
    <s v="2023-11-08"/>
    <x v="0"/>
    <x v="0"/>
    <n v="2809"/>
    <n v="653"/>
    <x v="2"/>
    <x v="1"/>
    <n v="0.23246707013171947"/>
    <x v="0"/>
    <x v="10"/>
  </r>
  <r>
    <n v="1182"/>
    <s v="2023-11-08"/>
    <x v="2"/>
    <x v="0"/>
    <n v="3356"/>
    <n v="362"/>
    <x v="2"/>
    <x v="0"/>
    <n v="0.10786650774731824"/>
    <x v="0"/>
    <x v="10"/>
  </r>
  <r>
    <n v="1192"/>
    <s v="2023-11-09"/>
    <x v="2"/>
    <x v="0"/>
    <n v="2135"/>
    <n v="489"/>
    <x v="3"/>
    <x v="1"/>
    <n v="0.22903981264637002"/>
    <x v="0"/>
    <x v="10"/>
  </r>
  <r>
    <n v="1053"/>
    <s v="2023-11-10"/>
    <x v="1"/>
    <x v="1"/>
    <n v="4702"/>
    <n v="264"/>
    <x v="1"/>
    <x v="1"/>
    <n v="5.6146320714589533E-2"/>
    <x v="0"/>
    <x v="10"/>
  </r>
  <r>
    <n v="1108"/>
    <s v="2023-11-10"/>
    <x v="1"/>
    <x v="2"/>
    <n v="2058"/>
    <n v="343"/>
    <x v="1"/>
    <x v="0"/>
    <n v="0.16666666666666666"/>
    <x v="0"/>
    <x v="10"/>
  </r>
  <r>
    <n v="1117"/>
    <s v="2023-11-10"/>
    <x v="0"/>
    <x v="2"/>
    <n v="288"/>
    <n v="556"/>
    <x v="0"/>
    <x v="1"/>
    <n v="1.9305555555555556"/>
    <x v="0"/>
    <x v="10"/>
  </r>
  <r>
    <n v="1123"/>
    <s v="2023-11-10"/>
    <x v="3"/>
    <x v="0"/>
    <n v="2473"/>
    <n v="775"/>
    <x v="2"/>
    <x v="1"/>
    <n v="0.31338455317428227"/>
    <x v="0"/>
    <x v="10"/>
  </r>
  <r>
    <n v="1654"/>
    <s v="2023-11-10"/>
    <x v="6"/>
    <x v="1"/>
    <n v="1828"/>
    <n v="459"/>
    <x v="2"/>
    <x v="1"/>
    <n v="0.2510940919037199"/>
    <x v="0"/>
    <x v="10"/>
  </r>
  <r>
    <n v="1374"/>
    <s v="2023-11-12"/>
    <x v="3"/>
    <x v="0"/>
    <n v="3639"/>
    <n v="185"/>
    <x v="1"/>
    <x v="0"/>
    <n v="5.0838142346798572E-2"/>
    <x v="0"/>
    <x v="10"/>
  </r>
  <r>
    <n v="1619"/>
    <s v="2023-11-12"/>
    <x v="2"/>
    <x v="0"/>
    <n v="802"/>
    <n v="261"/>
    <x v="1"/>
    <x v="1"/>
    <n v="0.3254364089775561"/>
    <x v="0"/>
    <x v="10"/>
  </r>
  <r>
    <n v="1143"/>
    <s v="2023-11-13"/>
    <x v="2"/>
    <x v="1"/>
    <n v="850"/>
    <n v="868"/>
    <x v="0"/>
    <x v="1"/>
    <n v="1.0211764705882354"/>
    <x v="0"/>
    <x v="10"/>
  </r>
  <r>
    <n v="1360"/>
    <s v="2023-11-13"/>
    <x v="1"/>
    <x v="1"/>
    <n v="3409"/>
    <n v="608"/>
    <x v="3"/>
    <x v="0"/>
    <n v="0.17835142270460547"/>
    <x v="0"/>
    <x v="10"/>
  </r>
  <r>
    <n v="1697"/>
    <s v="2023-11-13"/>
    <x v="5"/>
    <x v="2"/>
    <n v="2509"/>
    <n v="626"/>
    <x v="2"/>
    <x v="1"/>
    <n v="0.24950179354324431"/>
    <x v="0"/>
    <x v="10"/>
  </r>
  <r>
    <n v="1375"/>
    <s v="2023-11-14"/>
    <x v="2"/>
    <x v="0"/>
    <n v="2902"/>
    <n v="514"/>
    <x v="2"/>
    <x v="1"/>
    <n v="0.17711922811853895"/>
    <x v="0"/>
    <x v="10"/>
  </r>
  <r>
    <n v="1472"/>
    <s v="2023-11-14"/>
    <x v="2"/>
    <x v="2"/>
    <n v="652"/>
    <n v="431"/>
    <x v="1"/>
    <x v="1"/>
    <n v="0.66104294478527603"/>
    <x v="0"/>
    <x v="10"/>
  </r>
  <r>
    <n v="1941"/>
    <s v="2023-11-14"/>
    <x v="2"/>
    <x v="0"/>
    <n v="4474"/>
    <n v="897"/>
    <x v="2"/>
    <x v="1"/>
    <n v="0.20049172999552972"/>
    <x v="0"/>
    <x v="10"/>
  </r>
  <r>
    <n v="1080"/>
    <s v="2023-11-15"/>
    <x v="1"/>
    <x v="0"/>
    <n v="1654"/>
    <n v="439"/>
    <x v="0"/>
    <x v="1"/>
    <n v="0.26541717049576785"/>
    <x v="0"/>
    <x v="10"/>
  </r>
  <r>
    <n v="1247"/>
    <s v="2023-11-15"/>
    <x v="5"/>
    <x v="2"/>
    <n v="4606"/>
    <n v="112"/>
    <x v="3"/>
    <x v="1"/>
    <n v="2.4316109422492401E-2"/>
    <x v="0"/>
    <x v="10"/>
  </r>
  <r>
    <n v="1505"/>
    <s v="2023-11-15"/>
    <x v="2"/>
    <x v="0"/>
    <n v="3713"/>
    <n v="414"/>
    <x v="2"/>
    <x v="1"/>
    <n v="0.11150013466199839"/>
    <x v="0"/>
    <x v="10"/>
  </r>
  <r>
    <n v="1708"/>
    <s v="2023-11-15"/>
    <x v="0"/>
    <x v="1"/>
    <n v="3217"/>
    <n v="589"/>
    <x v="1"/>
    <x v="0"/>
    <n v="0.18308983525023315"/>
    <x v="0"/>
    <x v="10"/>
  </r>
  <r>
    <n v="1837"/>
    <s v="2023-11-15"/>
    <x v="1"/>
    <x v="0"/>
    <n v="373"/>
    <n v="817"/>
    <x v="2"/>
    <x v="0"/>
    <n v="2.1903485254691688"/>
    <x v="0"/>
    <x v="10"/>
  </r>
  <r>
    <n v="1159"/>
    <s v="2023-11-16"/>
    <x v="2"/>
    <x v="0"/>
    <n v="2122"/>
    <n v="55"/>
    <x v="0"/>
    <x v="0"/>
    <n v="2.5918944392082942E-2"/>
    <x v="0"/>
    <x v="10"/>
  </r>
  <r>
    <n v="1826"/>
    <s v="2023-11-16"/>
    <x v="4"/>
    <x v="1"/>
    <n v="2629"/>
    <n v="586"/>
    <x v="1"/>
    <x v="1"/>
    <n v="0.22289844047166224"/>
    <x v="0"/>
    <x v="10"/>
  </r>
  <r>
    <n v="1034"/>
    <s v="2023-11-17"/>
    <x v="2"/>
    <x v="0"/>
    <n v="4192"/>
    <n v="255"/>
    <x v="2"/>
    <x v="1"/>
    <n v="6.0830152671755726E-2"/>
    <x v="0"/>
    <x v="10"/>
  </r>
  <r>
    <n v="1639"/>
    <s v="2023-11-17"/>
    <x v="1"/>
    <x v="2"/>
    <n v="4534"/>
    <n v="317"/>
    <x v="1"/>
    <x v="1"/>
    <n v="6.9916188795765333E-2"/>
    <x v="0"/>
    <x v="10"/>
  </r>
  <r>
    <n v="1651"/>
    <s v="2023-11-17"/>
    <x v="6"/>
    <x v="0"/>
    <n v="2468"/>
    <n v="204"/>
    <x v="3"/>
    <x v="1"/>
    <n v="8.2658022690437608E-2"/>
    <x v="0"/>
    <x v="10"/>
  </r>
  <r>
    <n v="1680"/>
    <s v="2023-11-17"/>
    <x v="5"/>
    <x v="0"/>
    <n v="288"/>
    <n v="902"/>
    <x v="0"/>
    <x v="0"/>
    <n v="3.1319444444444446"/>
    <x v="0"/>
    <x v="10"/>
  </r>
  <r>
    <n v="1130"/>
    <s v="2023-11-18"/>
    <x v="1"/>
    <x v="1"/>
    <n v="4859"/>
    <n v="259"/>
    <x v="2"/>
    <x v="0"/>
    <n v="5.3303148796048569E-2"/>
    <x v="0"/>
    <x v="10"/>
  </r>
  <r>
    <n v="1135"/>
    <s v="2023-11-18"/>
    <x v="1"/>
    <x v="1"/>
    <n v="3912"/>
    <n v="875"/>
    <x v="1"/>
    <x v="0"/>
    <n v="0.22367075664621677"/>
    <x v="0"/>
    <x v="10"/>
  </r>
  <r>
    <n v="1193"/>
    <s v="2023-11-18"/>
    <x v="4"/>
    <x v="1"/>
    <n v="2799"/>
    <n v="54"/>
    <x v="2"/>
    <x v="0"/>
    <n v="1.9292604501607719E-2"/>
    <x v="0"/>
    <x v="10"/>
  </r>
  <r>
    <n v="1341"/>
    <s v="2023-11-18"/>
    <x v="1"/>
    <x v="1"/>
    <n v="1982"/>
    <n v="316"/>
    <x v="1"/>
    <x v="1"/>
    <n v="0.15943491422805248"/>
    <x v="0"/>
    <x v="10"/>
  </r>
  <r>
    <n v="1396"/>
    <s v="2023-11-18"/>
    <x v="4"/>
    <x v="1"/>
    <n v="4271"/>
    <n v="623"/>
    <x v="2"/>
    <x v="0"/>
    <n v="0.14586747834230859"/>
    <x v="0"/>
    <x v="10"/>
  </r>
  <r>
    <n v="1533"/>
    <s v="2023-11-21"/>
    <x v="0"/>
    <x v="1"/>
    <n v="3139"/>
    <n v="754"/>
    <x v="1"/>
    <x v="0"/>
    <n v="0.24020388658808539"/>
    <x v="0"/>
    <x v="10"/>
  </r>
  <r>
    <n v="1930"/>
    <s v="2023-11-21"/>
    <x v="4"/>
    <x v="1"/>
    <n v="3859"/>
    <n v="561"/>
    <x v="0"/>
    <x v="1"/>
    <n v="0.14537444933920704"/>
    <x v="0"/>
    <x v="10"/>
  </r>
  <r>
    <n v="1166"/>
    <s v="2023-11-22"/>
    <x v="1"/>
    <x v="1"/>
    <n v="4706"/>
    <n v="237"/>
    <x v="1"/>
    <x v="0"/>
    <n v="5.0361240968975776E-2"/>
    <x v="0"/>
    <x v="10"/>
  </r>
  <r>
    <n v="1873"/>
    <s v="2023-11-22"/>
    <x v="0"/>
    <x v="2"/>
    <n v="2935"/>
    <n v="196"/>
    <x v="0"/>
    <x v="1"/>
    <n v="6.6780238500851782E-2"/>
    <x v="0"/>
    <x v="10"/>
  </r>
  <r>
    <n v="1492"/>
    <s v="2023-11-23"/>
    <x v="1"/>
    <x v="2"/>
    <n v="4504"/>
    <n v="140"/>
    <x v="1"/>
    <x v="0"/>
    <n v="3.108348134991119E-2"/>
    <x v="0"/>
    <x v="10"/>
  </r>
  <r>
    <n v="1525"/>
    <s v="2023-11-23"/>
    <x v="1"/>
    <x v="2"/>
    <n v="3902"/>
    <n v="243"/>
    <x v="3"/>
    <x v="1"/>
    <n v="6.2275756022552538E-2"/>
    <x v="0"/>
    <x v="10"/>
  </r>
  <r>
    <n v="1310"/>
    <s v="2023-11-24"/>
    <x v="1"/>
    <x v="2"/>
    <n v="3871"/>
    <n v="152"/>
    <x v="1"/>
    <x v="0"/>
    <n v="3.9266339447171276E-2"/>
    <x v="0"/>
    <x v="10"/>
  </r>
  <r>
    <n v="1196"/>
    <s v="2023-11-25"/>
    <x v="0"/>
    <x v="1"/>
    <n v="4143"/>
    <n v="867"/>
    <x v="3"/>
    <x v="0"/>
    <n v="0.20926864590876176"/>
    <x v="0"/>
    <x v="10"/>
  </r>
  <r>
    <n v="1415"/>
    <s v="2023-11-25"/>
    <x v="6"/>
    <x v="2"/>
    <n v="3376"/>
    <n v="471"/>
    <x v="3"/>
    <x v="1"/>
    <n v="0.13951421800947866"/>
    <x v="0"/>
    <x v="10"/>
  </r>
  <r>
    <n v="1641"/>
    <s v="2023-11-25"/>
    <x v="0"/>
    <x v="2"/>
    <n v="1846"/>
    <n v="932"/>
    <x v="1"/>
    <x v="1"/>
    <n v="0.50487540628385696"/>
    <x v="0"/>
    <x v="10"/>
  </r>
  <r>
    <n v="1342"/>
    <s v="2023-11-26"/>
    <x v="6"/>
    <x v="1"/>
    <n v="2682"/>
    <n v="284"/>
    <x v="0"/>
    <x v="0"/>
    <n v="0.10589112602535421"/>
    <x v="0"/>
    <x v="10"/>
  </r>
  <r>
    <n v="1350"/>
    <s v="2023-11-26"/>
    <x v="4"/>
    <x v="1"/>
    <n v="4512"/>
    <n v="972"/>
    <x v="2"/>
    <x v="0"/>
    <n v="0.21542553191489361"/>
    <x v="0"/>
    <x v="10"/>
  </r>
  <r>
    <n v="1643"/>
    <s v="2023-11-26"/>
    <x v="3"/>
    <x v="2"/>
    <n v="3002"/>
    <n v="339"/>
    <x v="0"/>
    <x v="0"/>
    <n v="0.11292471685542971"/>
    <x v="0"/>
    <x v="10"/>
  </r>
  <r>
    <n v="1074"/>
    <s v="2023-11-27"/>
    <x v="3"/>
    <x v="1"/>
    <n v="398"/>
    <n v="822"/>
    <x v="1"/>
    <x v="1"/>
    <n v="2.0653266331658293"/>
    <x v="0"/>
    <x v="10"/>
  </r>
  <r>
    <n v="1251"/>
    <s v="2023-11-27"/>
    <x v="0"/>
    <x v="0"/>
    <n v="1885"/>
    <n v="355"/>
    <x v="3"/>
    <x v="1"/>
    <n v="0.1883289124668435"/>
    <x v="0"/>
    <x v="10"/>
  </r>
  <r>
    <n v="1460"/>
    <s v="2023-11-27"/>
    <x v="0"/>
    <x v="1"/>
    <n v="1560"/>
    <n v="774"/>
    <x v="1"/>
    <x v="1"/>
    <n v="0.49615384615384617"/>
    <x v="0"/>
    <x v="10"/>
  </r>
  <r>
    <n v="1037"/>
    <s v="2023-11-28"/>
    <x v="1"/>
    <x v="2"/>
    <n v="1035"/>
    <n v="598"/>
    <x v="3"/>
    <x v="0"/>
    <n v="0.57777777777777772"/>
    <x v="0"/>
    <x v="10"/>
  </r>
  <r>
    <n v="1462"/>
    <s v="2023-11-28"/>
    <x v="0"/>
    <x v="2"/>
    <n v="2172"/>
    <n v="157"/>
    <x v="0"/>
    <x v="1"/>
    <n v="7.2283609576427252E-2"/>
    <x v="0"/>
    <x v="10"/>
  </r>
  <r>
    <n v="1097"/>
    <s v="2023-11-29"/>
    <x v="5"/>
    <x v="0"/>
    <n v="2261"/>
    <n v="794"/>
    <x v="3"/>
    <x v="0"/>
    <n v="0.35117204776647504"/>
    <x v="0"/>
    <x v="10"/>
  </r>
  <r>
    <n v="1315"/>
    <s v="2023-11-29"/>
    <x v="6"/>
    <x v="1"/>
    <n v="398"/>
    <n v="941"/>
    <x v="3"/>
    <x v="1"/>
    <n v="2.3643216080402012"/>
    <x v="0"/>
    <x v="10"/>
  </r>
  <r>
    <n v="1364"/>
    <s v="2023-11-29"/>
    <x v="2"/>
    <x v="2"/>
    <n v="1333"/>
    <n v="766"/>
    <x v="1"/>
    <x v="1"/>
    <n v="0.57464366091522878"/>
    <x v="0"/>
    <x v="10"/>
  </r>
  <r>
    <n v="1585"/>
    <s v="2023-11-29"/>
    <x v="2"/>
    <x v="0"/>
    <n v="4047"/>
    <n v="454"/>
    <x v="1"/>
    <x v="1"/>
    <n v="0.11218186310847542"/>
    <x v="0"/>
    <x v="10"/>
  </r>
  <r>
    <n v="1720"/>
    <s v="2023-11-29"/>
    <x v="1"/>
    <x v="2"/>
    <n v="1498"/>
    <n v="196"/>
    <x v="0"/>
    <x v="1"/>
    <n v="0.13084112149532709"/>
    <x v="0"/>
    <x v="10"/>
  </r>
  <r>
    <n v="1817"/>
    <s v="2023-11-29"/>
    <x v="4"/>
    <x v="1"/>
    <n v="1848"/>
    <n v="702"/>
    <x v="3"/>
    <x v="0"/>
    <n v="0.37987012987012986"/>
    <x v="0"/>
    <x v="10"/>
  </r>
  <r>
    <n v="1878"/>
    <s v="2023-11-29"/>
    <x v="6"/>
    <x v="0"/>
    <n v="3092"/>
    <n v="271"/>
    <x v="2"/>
    <x v="0"/>
    <n v="8.7645536869340235E-2"/>
    <x v="0"/>
    <x v="10"/>
  </r>
  <r>
    <n v="1978"/>
    <s v="2023-11-29"/>
    <x v="5"/>
    <x v="1"/>
    <n v="1494"/>
    <n v="584"/>
    <x v="3"/>
    <x v="0"/>
    <n v="0.39089692101740292"/>
    <x v="0"/>
    <x v="10"/>
  </r>
  <r>
    <n v="1152"/>
    <s v="2023-11-30"/>
    <x v="1"/>
    <x v="0"/>
    <n v="2134"/>
    <n v="830"/>
    <x v="0"/>
    <x v="0"/>
    <n v="0.38894095595126521"/>
    <x v="0"/>
    <x v="10"/>
  </r>
  <r>
    <n v="1229"/>
    <s v="2023-11-30"/>
    <x v="2"/>
    <x v="0"/>
    <n v="2696"/>
    <n v="880"/>
    <x v="2"/>
    <x v="0"/>
    <n v="0.32640949554896143"/>
    <x v="0"/>
    <x v="10"/>
  </r>
  <r>
    <n v="1325"/>
    <s v="2023-11-30"/>
    <x v="4"/>
    <x v="2"/>
    <n v="1842"/>
    <n v="931"/>
    <x v="2"/>
    <x v="0"/>
    <n v="0.50542888165038002"/>
    <x v="0"/>
    <x v="10"/>
  </r>
  <r>
    <n v="1239"/>
    <s v="2023-12-01"/>
    <x v="5"/>
    <x v="2"/>
    <n v="265"/>
    <n v="248"/>
    <x v="2"/>
    <x v="0"/>
    <n v="0.9358490566037736"/>
    <x v="0"/>
    <x v="11"/>
  </r>
  <r>
    <n v="1172"/>
    <s v="2023-12-02"/>
    <x v="6"/>
    <x v="2"/>
    <n v="2772"/>
    <n v="548"/>
    <x v="2"/>
    <x v="1"/>
    <n v="0.1976911976911977"/>
    <x v="0"/>
    <x v="11"/>
  </r>
  <r>
    <n v="1760"/>
    <s v="2023-12-02"/>
    <x v="3"/>
    <x v="2"/>
    <n v="756"/>
    <n v="846"/>
    <x v="1"/>
    <x v="1"/>
    <n v="1.1190476190476191"/>
    <x v="0"/>
    <x v="11"/>
  </r>
  <r>
    <n v="1909"/>
    <s v="2023-12-02"/>
    <x v="5"/>
    <x v="2"/>
    <n v="2931"/>
    <n v="484"/>
    <x v="0"/>
    <x v="1"/>
    <n v="0.16513135448652336"/>
    <x v="0"/>
    <x v="11"/>
  </r>
  <r>
    <n v="1105"/>
    <s v="2023-12-03"/>
    <x v="6"/>
    <x v="2"/>
    <n v="2355"/>
    <n v="950"/>
    <x v="1"/>
    <x v="1"/>
    <n v="0.40339702760084928"/>
    <x v="0"/>
    <x v="11"/>
  </r>
  <r>
    <n v="1211"/>
    <s v="2023-12-03"/>
    <x v="6"/>
    <x v="1"/>
    <n v="3634"/>
    <n v="130"/>
    <x v="2"/>
    <x v="1"/>
    <n v="3.5773252614199232E-2"/>
    <x v="0"/>
    <x v="11"/>
  </r>
  <r>
    <n v="1751"/>
    <s v="2023-12-03"/>
    <x v="5"/>
    <x v="0"/>
    <n v="568"/>
    <n v="776"/>
    <x v="1"/>
    <x v="1"/>
    <n v="1.3661971830985915"/>
    <x v="0"/>
    <x v="11"/>
  </r>
  <r>
    <n v="1036"/>
    <s v="2023-12-04"/>
    <x v="0"/>
    <x v="1"/>
    <n v="3520"/>
    <n v="753"/>
    <x v="0"/>
    <x v="0"/>
    <n v="0.21392045454545455"/>
    <x v="0"/>
    <x v="11"/>
  </r>
  <r>
    <n v="1513"/>
    <s v="2023-12-04"/>
    <x v="0"/>
    <x v="0"/>
    <n v="1816"/>
    <n v="981"/>
    <x v="2"/>
    <x v="0"/>
    <n v="0.54019823788546251"/>
    <x v="0"/>
    <x v="11"/>
  </r>
  <r>
    <n v="1918"/>
    <s v="2023-12-04"/>
    <x v="0"/>
    <x v="1"/>
    <n v="2810"/>
    <n v="962"/>
    <x v="3"/>
    <x v="1"/>
    <n v="0.34234875444839857"/>
    <x v="0"/>
    <x v="11"/>
  </r>
  <r>
    <n v="1260"/>
    <s v="2023-12-05"/>
    <x v="1"/>
    <x v="0"/>
    <n v="913"/>
    <n v="33"/>
    <x v="1"/>
    <x v="1"/>
    <n v="3.614457831325301E-2"/>
    <x v="0"/>
    <x v="11"/>
  </r>
  <r>
    <n v="1368"/>
    <s v="2023-12-05"/>
    <x v="3"/>
    <x v="1"/>
    <n v="1127"/>
    <n v="951"/>
    <x v="3"/>
    <x v="1"/>
    <n v="0.84383318544809227"/>
    <x v="0"/>
    <x v="11"/>
  </r>
  <r>
    <n v="1670"/>
    <s v="2023-12-05"/>
    <x v="2"/>
    <x v="2"/>
    <n v="838"/>
    <n v="553"/>
    <x v="3"/>
    <x v="1"/>
    <n v="0.65990453460620524"/>
    <x v="0"/>
    <x v="11"/>
  </r>
  <r>
    <n v="1093"/>
    <s v="2023-12-06"/>
    <x v="0"/>
    <x v="2"/>
    <n v="4538"/>
    <n v="886"/>
    <x v="1"/>
    <x v="1"/>
    <n v="0.19524019391802555"/>
    <x v="0"/>
    <x v="11"/>
  </r>
  <r>
    <n v="1226"/>
    <s v="2023-12-06"/>
    <x v="3"/>
    <x v="2"/>
    <n v="3321"/>
    <n v="396"/>
    <x v="3"/>
    <x v="0"/>
    <n v="0.11924119241192412"/>
    <x v="0"/>
    <x v="11"/>
  </r>
  <r>
    <n v="1551"/>
    <s v="2023-12-06"/>
    <x v="0"/>
    <x v="2"/>
    <n v="2227"/>
    <n v="23"/>
    <x v="1"/>
    <x v="0"/>
    <n v="1.0327795240233499E-2"/>
    <x v="0"/>
    <x v="11"/>
  </r>
  <r>
    <n v="1923"/>
    <s v="2023-12-06"/>
    <x v="1"/>
    <x v="2"/>
    <n v="3999"/>
    <n v="925"/>
    <x v="2"/>
    <x v="0"/>
    <n v="0.23130782695673918"/>
    <x v="0"/>
    <x v="11"/>
  </r>
  <r>
    <n v="1188"/>
    <s v="2023-12-07"/>
    <x v="6"/>
    <x v="2"/>
    <n v="4352"/>
    <n v="641"/>
    <x v="3"/>
    <x v="0"/>
    <n v="0.14728860294117646"/>
    <x v="0"/>
    <x v="11"/>
  </r>
  <r>
    <n v="1234"/>
    <s v="2023-12-07"/>
    <x v="1"/>
    <x v="0"/>
    <n v="3138"/>
    <n v="839"/>
    <x v="1"/>
    <x v="0"/>
    <n v="0.26736775015933717"/>
    <x v="0"/>
    <x v="11"/>
  </r>
  <r>
    <n v="1252"/>
    <s v="2023-12-07"/>
    <x v="3"/>
    <x v="2"/>
    <n v="3749"/>
    <n v="298"/>
    <x v="2"/>
    <x v="0"/>
    <n v="7.9487863430248065E-2"/>
    <x v="0"/>
    <x v="11"/>
  </r>
  <r>
    <n v="1560"/>
    <s v="2023-12-07"/>
    <x v="6"/>
    <x v="2"/>
    <n v="2232"/>
    <n v="126"/>
    <x v="1"/>
    <x v="0"/>
    <n v="5.6451612903225805E-2"/>
    <x v="0"/>
    <x v="11"/>
  </r>
  <r>
    <n v="1597"/>
    <s v="2023-12-07"/>
    <x v="1"/>
    <x v="2"/>
    <n v="1669"/>
    <n v="711"/>
    <x v="0"/>
    <x v="0"/>
    <n v="0.42600359496704615"/>
    <x v="0"/>
    <x v="11"/>
  </r>
  <r>
    <n v="1645"/>
    <s v="2023-12-07"/>
    <x v="1"/>
    <x v="2"/>
    <n v="1036"/>
    <n v="193"/>
    <x v="3"/>
    <x v="0"/>
    <n v="0.18629343629343628"/>
    <x v="0"/>
    <x v="11"/>
  </r>
  <r>
    <n v="1758"/>
    <s v="2023-12-07"/>
    <x v="6"/>
    <x v="1"/>
    <n v="1822"/>
    <n v="383"/>
    <x v="2"/>
    <x v="1"/>
    <n v="0.21020856201975852"/>
    <x v="0"/>
    <x v="11"/>
  </r>
  <r>
    <n v="1642"/>
    <s v="2023-12-08"/>
    <x v="4"/>
    <x v="0"/>
    <n v="3630"/>
    <n v="550"/>
    <x v="0"/>
    <x v="1"/>
    <n v="0.15151515151515152"/>
    <x v="0"/>
    <x v="11"/>
  </r>
  <r>
    <n v="1704"/>
    <s v="2023-12-08"/>
    <x v="1"/>
    <x v="0"/>
    <n v="2510"/>
    <n v="29"/>
    <x v="1"/>
    <x v="0"/>
    <n v="1.1553784860557768E-2"/>
    <x v="0"/>
    <x v="11"/>
  </r>
  <r>
    <n v="1091"/>
    <s v="2023-12-09"/>
    <x v="3"/>
    <x v="0"/>
    <n v="3392"/>
    <n v="214"/>
    <x v="3"/>
    <x v="0"/>
    <n v="6.3089622641509441E-2"/>
    <x v="0"/>
    <x v="11"/>
  </r>
  <r>
    <n v="1880"/>
    <s v="2023-12-09"/>
    <x v="4"/>
    <x v="0"/>
    <n v="2897"/>
    <n v="171"/>
    <x v="1"/>
    <x v="0"/>
    <n v="5.9026579219882636E-2"/>
    <x v="0"/>
    <x v="11"/>
  </r>
  <r>
    <n v="1885"/>
    <s v="2023-12-09"/>
    <x v="4"/>
    <x v="0"/>
    <n v="537"/>
    <n v="740"/>
    <x v="1"/>
    <x v="1"/>
    <n v="1.378026070763501"/>
    <x v="0"/>
    <x v="11"/>
  </r>
  <r>
    <n v="1545"/>
    <s v="2023-12-10"/>
    <x v="0"/>
    <x v="1"/>
    <n v="2203"/>
    <n v="398"/>
    <x v="3"/>
    <x v="1"/>
    <n v="0.18066273263731275"/>
    <x v="0"/>
    <x v="11"/>
  </r>
  <r>
    <n v="1727"/>
    <s v="2023-12-10"/>
    <x v="6"/>
    <x v="2"/>
    <n v="1671"/>
    <n v="682"/>
    <x v="0"/>
    <x v="0"/>
    <n v="0.40813883901855175"/>
    <x v="0"/>
    <x v="11"/>
  </r>
  <r>
    <n v="1298"/>
    <s v="2023-12-11"/>
    <x v="4"/>
    <x v="0"/>
    <n v="4924"/>
    <n v="538"/>
    <x v="1"/>
    <x v="1"/>
    <n v="0.10926076360682373"/>
    <x v="0"/>
    <x v="11"/>
  </r>
  <r>
    <n v="1418"/>
    <s v="2023-12-11"/>
    <x v="1"/>
    <x v="0"/>
    <n v="4159"/>
    <n v="956"/>
    <x v="2"/>
    <x v="1"/>
    <n v="0.22986294782399616"/>
    <x v="0"/>
    <x v="11"/>
  </r>
  <r>
    <n v="1919"/>
    <s v="2023-12-11"/>
    <x v="3"/>
    <x v="0"/>
    <n v="932"/>
    <n v="74"/>
    <x v="1"/>
    <x v="0"/>
    <n v="7.9399141630901282E-2"/>
    <x v="0"/>
    <x v="11"/>
  </r>
  <r>
    <n v="1273"/>
    <s v="2023-12-12"/>
    <x v="2"/>
    <x v="0"/>
    <n v="3167"/>
    <n v="777"/>
    <x v="0"/>
    <x v="0"/>
    <n v="0.24534259551626145"/>
    <x v="0"/>
    <x v="11"/>
  </r>
  <r>
    <n v="1628"/>
    <s v="2023-12-12"/>
    <x v="1"/>
    <x v="0"/>
    <n v="1035"/>
    <n v="778"/>
    <x v="2"/>
    <x v="0"/>
    <n v="0.7516908212560387"/>
    <x v="0"/>
    <x v="11"/>
  </r>
  <r>
    <n v="1681"/>
    <s v="2023-12-12"/>
    <x v="0"/>
    <x v="1"/>
    <n v="813"/>
    <n v="48"/>
    <x v="0"/>
    <x v="1"/>
    <n v="5.9040590405904057E-2"/>
    <x v="0"/>
    <x v="11"/>
  </r>
  <r>
    <n v="1285"/>
    <s v="2023-12-13"/>
    <x v="0"/>
    <x v="1"/>
    <n v="4151"/>
    <n v="220"/>
    <x v="1"/>
    <x v="0"/>
    <n v="5.299927728258251E-2"/>
    <x v="0"/>
    <x v="11"/>
  </r>
  <r>
    <n v="1776"/>
    <s v="2023-12-13"/>
    <x v="0"/>
    <x v="0"/>
    <n v="1233"/>
    <n v="756"/>
    <x v="2"/>
    <x v="1"/>
    <n v="0.61313868613138689"/>
    <x v="0"/>
    <x v="11"/>
  </r>
  <r>
    <n v="1503"/>
    <s v="2023-12-14"/>
    <x v="6"/>
    <x v="2"/>
    <n v="4403"/>
    <n v="396"/>
    <x v="3"/>
    <x v="0"/>
    <n v="8.9938678173972289E-2"/>
    <x v="0"/>
    <x v="11"/>
  </r>
  <r>
    <n v="1703"/>
    <s v="2023-12-14"/>
    <x v="0"/>
    <x v="1"/>
    <n v="634"/>
    <n v="583"/>
    <x v="1"/>
    <x v="0"/>
    <n v="0.91955835962145105"/>
    <x v="0"/>
    <x v="11"/>
  </r>
  <r>
    <n v="1018"/>
    <s v="2023-12-15"/>
    <x v="5"/>
    <x v="2"/>
    <n v="3492"/>
    <n v="369"/>
    <x v="2"/>
    <x v="1"/>
    <n v="0.1056701030927835"/>
    <x v="0"/>
    <x v="11"/>
  </r>
  <r>
    <n v="1033"/>
    <s v="2023-12-17"/>
    <x v="0"/>
    <x v="2"/>
    <n v="3438"/>
    <n v="410"/>
    <x v="2"/>
    <x v="1"/>
    <n v="0.11925538103548575"/>
    <x v="0"/>
    <x v="11"/>
  </r>
  <r>
    <n v="1675"/>
    <s v="2023-12-17"/>
    <x v="2"/>
    <x v="1"/>
    <n v="1721"/>
    <n v="927"/>
    <x v="0"/>
    <x v="0"/>
    <n v="0.53864032539221385"/>
    <x v="0"/>
    <x v="11"/>
  </r>
  <r>
    <n v="1711"/>
    <s v="2023-12-17"/>
    <x v="6"/>
    <x v="1"/>
    <n v="3541"/>
    <n v="212"/>
    <x v="2"/>
    <x v="0"/>
    <n v="5.9870093194012992E-2"/>
    <x v="0"/>
    <x v="11"/>
  </r>
  <r>
    <n v="1777"/>
    <s v="2023-12-17"/>
    <x v="3"/>
    <x v="0"/>
    <n v="4534"/>
    <n v="455"/>
    <x v="1"/>
    <x v="0"/>
    <n v="0.10035288928098809"/>
    <x v="0"/>
    <x v="11"/>
  </r>
  <r>
    <n v="1806"/>
    <s v="2023-12-17"/>
    <x v="1"/>
    <x v="0"/>
    <n v="4159"/>
    <n v="166"/>
    <x v="1"/>
    <x v="0"/>
    <n v="3.9913440730944938E-2"/>
    <x v="0"/>
    <x v="11"/>
  </r>
  <r>
    <n v="1810"/>
    <s v="2023-12-17"/>
    <x v="4"/>
    <x v="2"/>
    <n v="4733"/>
    <n v="697"/>
    <x v="0"/>
    <x v="1"/>
    <n v="0.14726389182336785"/>
    <x v="0"/>
    <x v="11"/>
  </r>
  <r>
    <n v="1203"/>
    <s v="2023-12-19"/>
    <x v="6"/>
    <x v="0"/>
    <n v="4149"/>
    <n v="779"/>
    <x v="3"/>
    <x v="0"/>
    <n v="0.18775608580380815"/>
    <x v="0"/>
    <x v="11"/>
  </r>
  <r>
    <n v="1054"/>
    <s v="2023-12-20"/>
    <x v="1"/>
    <x v="0"/>
    <n v="291"/>
    <n v="817"/>
    <x v="2"/>
    <x v="0"/>
    <n v="2.8075601374570445"/>
    <x v="0"/>
    <x v="11"/>
  </r>
  <r>
    <n v="1173"/>
    <s v="2023-12-20"/>
    <x v="6"/>
    <x v="1"/>
    <n v="2183"/>
    <n v="535"/>
    <x v="1"/>
    <x v="1"/>
    <n v="0.24507558405863492"/>
    <x v="0"/>
    <x v="11"/>
  </r>
  <r>
    <n v="1737"/>
    <s v="2023-12-20"/>
    <x v="2"/>
    <x v="1"/>
    <n v="3042"/>
    <n v="902"/>
    <x v="3"/>
    <x v="0"/>
    <n v="0.2965154503616042"/>
    <x v="0"/>
    <x v="11"/>
  </r>
  <r>
    <n v="1856"/>
    <s v="2023-12-20"/>
    <x v="3"/>
    <x v="0"/>
    <n v="4178"/>
    <n v="441"/>
    <x v="0"/>
    <x v="0"/>
    <n v="0.10555289612254667"/>
    <x v="0"/>
    <x v="11"/>
  </r>
  <r>
    <n v="1437"/>
    <s v="2023-12-21"/>
    <x v="2"/>
    <x v="0"/>
    <n v="1661"/>
    <n v="392"/>
    <x v="1"/>
    <x v="1"/>
    <n v="0.23600240818783866"/>
    <x v="0"/>
    <x v="11"/>
  </r>
  <r>
    <n v="1307"/>
    <s v="2023-12-22"/>
    <x v="6"/>
    <x v="0"/>
    <n v="3542"/>
    <n v="262"/>
    <x v="2"/>
    <x v="0"/>
    <n v="7.3969508752117441E-2"/>
    <x v="0"/>
    <x v="11"/>
  </r>
  <r>
    <n v="1962"/>
    <s v="2023-12-22"/>
    <x v="3"/>
    <x v="1"/>
    <n v="3542"/>
    <n v="259"/>
    <x v="2"/>
    <x v="0"/>
    <n v="7.3122529644268769E-2"/>
    <x v="0"/>
    <x v="11"/>
  </r>
  <r>
    <n v="1496"/>
    <s v="2023-12-23"/>
    <x v="2"/>
    <x v="2"/>
    <n v="3405"/>
    <n v="244"/>
    <x v="3"/>
    <x v="1"/>
    <n v="7.1659324522760651E-2"/>
    <x v="0"/>
    <x v="11"/>
  </r>
  <r>
    <n v="1629"/>
    <s v="2023-12-23"/>
    <x v="0"/>
    <x v="2"/>
    <n v="3430"/>
    <n v="316"/>
    <x v="0"/>
    <x v="1"/>
    <n v="9.2128279883381931E-2"/>
    <x v="0"/>
    <x v="11"/>
  </r>
  <r>
    <n v="1682"/>
    <s v="2023-12-23"/>
    <x v="4"/>
    <x v="0"/>
    <n v="4666"/>
    <n v="976"/>
    <x v="0"/>
    <x v="0"/>
    <n v="0.20917273896270897"/>
    <x v="0"/>
    <x v="11"/>
  </r>
  <r>
    <n v="1044"/>
    <s v="2023-12-24"/>
    <x v="3"/>
    <x v="0"/>
    <n v="2888"/>
    <n v="279"/>
    <x v="2"/>
    <x v="1"/>
    <n v="9.6606648199445977E-2"/>
    <x v="0"/>
    <x v="11"/>
  </r>
  <r>
    <n v="1725"/>
    <s v="2023-12-24"/>
    <x v="0"/>
    <x v="0"/>
    <n v="153"/>
    <n v="182"/>
    <x v="0"/>
    <x v="1"/>
    <n v="1.1895424836601307"/>
    <x v="0"/>
    <x v="11"/>
  </r>
  <r>
    <n v="1277"/>
    <s v="2023-12-25"/>
    <x v="0"/>
    <x v="2"/>
    <n v="2415"/>
    <n v="910"/>
    <x v="1"/>
    <x v="0"/>
    <n v="0.37681159420289856"/>
    <x v="0"/>
    <x v="11"/>
  </r>
  <r>
    <n v="1417"/>
    <s v="2023-12-25"/>
    <x v="0"/>
    <x v="1"/>
    <n v="4758"/>
    <n v="409"/>
    <x v="0"/>
    <x v="1"/>
    <n v="8.5960487599831867E-2"/>
    <x v="0"/>
    <x v="11"/>
  </r>
  <r>
    <n v="1422"/>
    <s v="2023-12-25"/>
    <x v="3"/>
    <x v="1"/>
    <n v="1125"/>
    <n v="534"/>
    <x v="2"/>
    <x v="0"/>
    <n v="0.47466666666666668"/>
    <x v="0"/>
    <x v="11"/>
  </r>
  <r>
    <n v="1865"/>
    <s v="2023-12-25"/>
    <x v="3"/>
    <x v="0"/>
    <n v="1594"/>
    <n v="964"/>
    <x v="3"/>
    <x v="1"/>
    <n v="0.60476787954830613"/>
    <x v="0"/>
    <x v="11"/>
  </r>
  <r>
    <n v="1814"/>
    <s v="2023-12-26"/>
    <x v="1"/>
    <x v="0"/>
    <n v="883"/>
    <n v="681"/>
    <x v="3"/>
    <x v="0"/>
    <n v="0.77123442808607023"/>
    <x v="0"/>
    <x v="11"/>
  </r>
  <r>
    <n v="1886"/>
    <s v="2023-12-26"/>
    <x v="4"/>
    <x v="2"/>
    <n v="3643"/>
    <n v="757"/>
    <x v="1"/>
    <x v="1"/>
    <n v="0.20779577271479549"/>
    <x v="0"/>
    <x v="11"/>
  </r>
  <r>
    <n v="1319"/>
    <s v="2023-12-27"/>
    <x v="1"/>
    <x v="0"/>
    <n v="3377"/>
    <n v="819"/>
    <x v="0"/>
    <x v="1"/>
    <n v="0.24252294936334023"/>
    <x v="0"/>
    <x v="11"/>
  </r>
  <r>
    <n v="1456"/>
    <s v="2023-12-27"/>
    <x v="0"/>
    <x v="1"/>
    <n v="2285"/>
    <n v="485"/>
    <x v="3"/>
    <x v="0"/>
    <n v="0.21225382932166301"/>
    <x v="0"/>
    <x v="11"/>
  </r>
  <r>
    <n v="1967"/>
    <s v="2023-12-28"/>
    <x v="4"/>
    <x v="2"/>
    <n v="1216"/>
    <n v="536"/>
    <x v="0"/>
    <x v="0"/>
    <n v="0.44078947368421051"/>
    <x v="0"/>
    <x v="11"/>
  </r>
  <r>
    <n v="1185"/>
    <s v="2023-12-29"/>
    <x v="2"/>
    <x v="0"/>
    <n v="4629"/>
    <n v="408"/>
    <x v="0"/>
    <x v="0"/>
    <n v="8.8139987038237194E-2"/>
    <x v="0"/>
    <x v="11"/>
  </r>
  <r>
    <n v="1471"/>
    <s v="2023-12-30"/>
    <x v="3"/>
    <x v="0"/>
    <n v="3261"/>
    <n v="298"/>
    <x v="2"/>
    <x v="0"/>
    <n v="9.1383011346212822E-2"/>
    <x v="0"/>
    <x v="11"/>
  </r>
  <r>
    <n v="1055"/>
    <s v="2023-12-31"/>
    <x v="3"/>
    <x v="2"/>
    <n v="4397"/>
    <n v="234"/>
    <x v="0"/>
    <x v="0"/>
    <n v="5.3218103252217423E-2"/>
    <x v="0"/>
    <x v="11"/>
  </r>
  <r>
    <n v="1595"/>
    <s v="2023-12-31"/>
    <x v="3"/>
    <x v="1"/>
    <n v="1990"/>
    <n v="393"/>
    <x v="2"/>
    <x v="1"/>
    <n v="0.19748743718592965"/>
    <x v="0"/>
    <x v="11"/>
  </r>
  <r>
    <n v="1683"/>
    <s v="2023-12-31"/>
    <x v="6"/>
    <x v="0"/>
    <n v="2018"/>
    <n v="903"/>
    <x v="1"/>
    <x v="1"/>
    <n v="0.44747274529236869"/>
    <x v="0"/>
    <x v="11"/>
  </r>
  <r>
    <n v="1741"/>
    <s v="2023-12-31"/>
    <x v="5"/>
    <x v="2"/>
    <n v="2561"/>
    <n v="741"/>
    <x v="3"/>
    <x v="0"/>
    <n v="0.28934010152284262"/>
    <x v="0"/>
    <x v="11"/>
  </r>
  <r>
    <n v="1764"/>
    <s v="2023-12-31"/>
    <x v="4"/>
    <x v="1"/>
    <n v="568"/>
    <n v="676"/>
    <x v="2"/>
    <x v="0"/>
    <n v="1.1901408450704225"/>
    <x v="0"/>
    <x v="11"/>
  </r>
  <r>
    <n v="1713"/>
    <s v="2024-01-01"/>
    <x v="6"/>
    <x v="1"/>
    <n v="3135"/>
    <n v="279"/>
    <x v="0"/>
    <x v="1"/>
    <n v="8.899521531100478E-2"/>
    <x v="1"/>
    <x v="0"/>
  </r>
  <r>
    <n v="1786"/>
    <s v="2024-01-01"/>
    <x v="4"/>
    <x v="2"/>
    <n v="453"/>
    <n v="987"/>
    <x v="0"/>
    <x v="0"/>
    <n v="2.1788079470198674"/>
    <x v="1"/>
    <x v="0"/>
  </r>
  <r>
    <n v="1827"/>
    <s v="2024-01-01"/>
    <x v="0"/>
    <x v="0"/>
    <n v="750"/>
    <n v="268"/>
    <x v="3"/>
    <x v="1"/>
    <n v="0.3573333333333333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6DEF3-59A7-4D4F-958D-64DCF12474E6}" name="PivotTable2" cacheId="4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19" firstHeaderRow="1" firstDataRow="1" firstDataCol="2"/>
  <pivotFields count="11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9"/>
    <field x="10"/>
  </rowFields>
  <rowItems count="16">
    <i>
      <x/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default">
      <x/>
    </i>
    <i>
      <x v="1"/>
      <x v="12"/>
    </i>
    <i t="default">
      <x v="1"/>
    </i>
    <i t="grand">
      <x/>
    </i>
  </rowItems>
  <colItems count="1">
    <i/>
  </colItems>
  <dataFields count="1">
    <dataField name="Sum of Sales" fld="4" baseField="0" baseItem="0" numFmtId="166"/>
  </dataFields>
  <formats count="2">
    <format dxfId="15">
      <pivotArea dataOnly="0" labelOnly="1" outline="0" axis="axisValues" fieldPosition="0"/>
    </format>
    <format dxfId="16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BAE68-31C3-4DB7-948D-F74BD7DCF2CA}" name="PivotTable9" cacheId="4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6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Sales" fld="4" baseField="0" baseItem="0"/>
  </dataFields>
  <formats count="2">
    <format dxfId="13">
      <pivotArea dataOnly="0" labelOnly="1" outline="0" axis="axisValues" fieldPosition="0"/>
    </format>
    <format dxfId="14">
      <pivotArea outline="0" collapsedLevelsAreSubtotals="1" fieldPosition="0"/>
    </format>
  </format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10135-70D2-4C03-ADA2-CAC970650DC9}" name="PivotTable1" cacheId="4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B9" firstHeaderRow="1" firstDataRow="1" firstDataCol="1"/>
  <pivotFields count="11">
    <pivotField compact="0" outline="0" showAll="0"/>
    <pivotField compact="0" outline="0" showAll="0"/>
    <pivotField axis="axisRow" compact="0" outline="0" showAll="0" sortType="ascending">
      <items count="8">
        <item h="1" x="2"/>
        <item x="4"/>
        <item x="1"/>
        <item x="0"/>
        <item x="3"/>
        <item h="1"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6">
    <i>
      <x v="1"/>
    </i>
    <i>
      <x v="6"/>
    </i>
    <i>
      <x v="4"/>
    </i>
    <i>
      <x v="2"/>
    </i>
    <i>
      <x v="3"/>
    </i>
    <i t="grand">
      <x/>
    </i>
  </rowItems>
  <colItems count="1">
    <i/>
  </colItems>
  <dataFields count="1">
    <dataField name="Sum of Profit" fld="5" baseField="0" baseItem="0"/>
  </dataFields>
  <formats count="2">
    <format dxfId="11">
      <pivotArea dataOnly="0" labelOnly="1" outline="0" axis="axisValues" fieldPosition="0"/>
    </format>
    <format dxfId="12">
      <pivotArea outline="0" collapsedLevelsAreSubtotals="1" fieldPosition="0"/>
    </format>
  </format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59F3C-B3BA-430C-B7C0-B951339D1419}" name="PivotTable10" cacheId="4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8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6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Sales" fld="4" baseField="0" baseItem="0" numFmtId="166"/>
  </dataFields>
  <formats count="2">
    <format dxfId="9">
      <pivotArea dataOnly="0" labelOnly="1" outline="0" axis="axisValues" fieldPosition="0"/>
    </format>
    <format dxfId="10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C8833-1C4A-47A7-87A6-BD660ABEF610}" name="Table1" displayName="Table1" ref="A1:K1001" totalsRowShown="0" headerRowDxfId="8" headerRowBorderDxfId="6" tableBorderDxfId="7">
  <autoFilter ref="A1:K1001" xr:uid="{406C8833-1C4A-47A7-87A6-BD660ABEF6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sortState xmlns:xlrd2="http://schemas.microsoft.com/office/spreadsheetml/2017/richdata2" ref="A2:J1001">
    <sortCondition ref="B1:B1001"/>
  </sortState>
  <tableColumns count="11">
    <tableColumn id="1" xr3:uid="{60354CC3-255B-4D3E-B670-AE22CFE5B66C}" name="Order ID"/>
    <tableColumn id="2" xr3:uid="{3B7C416D-7CCD-4B07-90A7-B265E4EEDA27}" name="Order Date" dataDxfId="5"/>
    <tableColumn id="3" xr3:uid="{67793E35-8556-4311-909A-CF72DAC56145}" name="Product"/>
    <tableColumn id="4" xr3:uid="{2E92FB71-86FB-4DE3-9778-1DB7136DAC8E}" name="Category"/>
    <tableColumn id="5" xr3:uid="{5D42DDE2-36C7-460B-A37A-E48B912D01B9}" name="Sales" dataDxfId="4"/>
    <tableColumn id="6" xr3:uid="{C053D06E-F7F0-4C3D-9612-55545CB70502}" name="Profit" dataDxfId="3"/>
    <tableColumn id="7" xr3:uid="{ABD3C9FD-4CE4-4652-B968-00B65C760144}" name="Region"/>
    <tableColumn id="8" xr3:uid="{258F1CB8-4781-4FB4-93CC-9D5EB3FBFF86}" name="Customer Type"/>
    <tableColumn id="9" xr3:uid="{A1802891-29DD-4D78-ACBE-503E2C79B766}" name="Profit Margin" dataDxfId="2">
      <calculatedColumnFormula>F2/E2</calculatedColumnFormula>
    </tableColumn>
    <tableColumn id="12" xr3:uid="{8ED85535-D04A-4957-A8AD-CAEE736E0C8D}" name="Year" dataDxfId="1">
      <calculatedColumnFormula>YEAR(Table1[[#This Row],[Order Date]])</calculatedColumnFormula>
    </tableColumn>
    <tableColumn id="13" xr3:uid="{4008C7AB-D747-4451-AC8B-5AB9549D8E96}" name="Month" dataDxfId="0">
      <calculatedColumnFormula>TEXT(Table1[[#This Row],[Order Date]], "MMM")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opLeftCell="A6" workbookViewId="0"/>
  </sheetViews>
  <sheetFormatPr defaultRowHeight="15"/>
  <cols>
    <col min="1" max="1" width="19.85546875" customWidth="1"/>
    <col min="2" max="2" width="19.85546875" style="4" customWidth="1"/>
    <col min="3" max="5" width="19.85546875" customWidth="1"/>
    <col min="6" max="6" width="19.85546875" style="8" customWidth="1"/>
    <col min="7" max="8" width="19.85546875" customWidth="1"/>
    <col min="9" max="9" width="30.85546875" bestFit="1" customWidth="1"/>
    <col min="10" max="11" width="30.85546875" customWidth="1"/>
    <col min="12" max="12" width="36.5703125" bestFit="1" customWidth="1"/>
  </cols>
  <sheetData>
    <row r="1" spans="1:1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>
        <v>1843</v>
      </c>
      <c r="B2" s="4" t="s">
        <v>11</v>
      </c>
      <c r="C2" t="s">
        <v>12</v>
      </c>
      <c r="D2" t="s">
        <v>13</v>
      </c>
      <c r="E2" s="8">
        <v>2234</v>
      </c>
      <c r="F2" s="8">
        <v>612</v>
      </c>
      <c r="G2" t="s">
        <v>14</v>
      </c>
      <c r="H2" t="s">
        <v>15</v>
      </c>
      <c r="I2">
        <f>F2/E2</f>
        <v>0.27394807520143238</v>
      </c>
      <c r="J2">
        <f>YEAR(Table1[[#This Row],[Order Date]])</f>
        <v>2023</v>
      </c>
      <c r="K2" s="5" t="str">
        <f>TEXT(Table1[[#This Row],[Order Date]], "MMM")</f>
        <v>Jan</v>
      </c>
      <c r="L2" s="5"/>
    </row>
    <row r="3" spans="1:12">
      <c r="A3">
        <v>1476</v>
      </c>
      <c r="B3" s="4" t="s">
        <v>16</v>
      </c>
      <c r="C3" t="s">
        <v>17</v>
      </c>
      <c r="D3" t="s">
        <v>13</v>
      </c>
      <c r="E3" s="8">
        <v>1882</v>
      </c>
      <c r="F3" s="8">
        <v>648</v>
      </c>
      <c r="G3" t="s">
        <v>18</v>
      </c>
      <c r="H3" t="s">
        <v>19</v>
      </c>
      <c r="I3">
        <f>F3/E3</f>
        <v>0.34431455897980873</v>
      </c>
      <c r="J3">
        <f>YEAR(Table1[[#This Row],[Order Date]])</f>
        <v>2023</v>
      </c>
      <c r="K3" t="str">
        <f>TEXT(Table1[[#This Row],[Order Date]], "MMM")</f>
        <v>Jan</v>
      </c>
    </row>
    <row r="4" spans="1:12">
      <c r="A4">
        <v>1331</v>
      </c>
      <c r="B4" s="4" t="s">
        <v>20</v>
      </c>
      <c r="C4" t="s">
        <v>21</v>
      </c>
      <c r="D4" t="s">
        <v>22</v>
      </c>
      <c r="E4" s="8">
        <v>958</v>
      </c>
      <c r="F4" s="8">
        <v>925</v>
      </c>
      <c r="G4" t="s">
        <v>23</v>
      </c>
      <c r="H4" t="s">
        <v>19</v>
      </c>
      <c r="I4">
        <f>F4/E4</f>
        <v>0.96555323590814202</v>
      </c>
      <c r="J4">
        <f>YEAR(Table1[[#This Row],[Order Date]])</f>
        <v>2023</v>
      </c>
      <c r="K4" t="str">
        <f>TEXT(Table1[[#This Row],[Order Date]], "MMM")</f>
        <v>Jan</v>
      </c>
    </row>
    <row r="5" spans="1:12">
      <c r="A5">
        <v>1548</v>
      </c>
      <c r="B5" s="4" t="s">
        <v>20</v>
      </c>
      <c r="C5" t="s">
        <v>21</v>
      </c>
      <c r="D5" t="s">
        <v>22</v>
      </c>
      <c r="E5" s="8">
        <v>1728</v>
      </c>
      <c r="F5" s="8">
        <v>121</v>
      </c>
      <c r="G5" t="s">
        <v>23</v>
      </c>
      <c r="H5" t="s">
        <v>15</v>
      </c>
      <c r="I5">
        <f>F5/E5</f>
        <v>7.0023148148148154E-2</v>
      </c>
      <c r="J5">
        <f>YEAR(Table1[[#This Row],[Order Date]])</f>
        <v>2023</v>
      </c>
      <c r="K5" t="str">
        <f>TEXT(Table1[[#This Row],[Order Date]], "MMM")</f>
        <v>Jan</v>
      </c>
    </row>
    <row r="6" spans="1:12">
      <c r="A6">
        <v>1673</v>
      </c>
      <c r="B6" s="4" t="s">
        <v>20</v>
      </c>
      <c r="C6" t="s">
        <v>24</v>
      </c>
      <c r="D6" t="s">
        <v>22</v>
      </c>
      <c r="E6" s="8">
        <v>4111</v>
      </c>
      <c r="F6" s="8">
        <v>308</v>
      </c>
      <c r="G6" t="s">
        <v>23</v>
      </c>
      <c r="H6" t="s">
        <v>19</v>
      </c>
      <c r="I6">
        <f>F6/E6</f>
        <v>7.4920943809292137E-2</v>
      </c>
      <c r="J6">
        <f>YEAR(Table1[[#This Row],[Order Date]])</f>
        <v>2023</v>
      </c>
      <c r="K6" t="str">
        <f>TEXT(Table1[[#This Row],[Order Date]], "MMM")</f>
        <v>Jan</v>
      </c>
    </row>
    <row r="7" spans="1:12">
      <c r="A7">
        <v>1688</v>
      </c>
      <c r="B7" s="4" t="s">
        <v>20</v>
      </c>
      <c r="C7" t="s">
        <v>12</v>
      </c>
      <c r="D7" t="s">
        <v>25</v>
      </c>
      <c r="E7" s="8">
        <v>4286</v>
      </c>
      <c r="F7" s="8">
        <v>594</v>
      </c>
      <c r="G7" t="s">
        <v>18</v>
      </c>
      <c r="H7" t="s">
        <v>19</v>
      </c>
      <c r="I7">
        <f>F7/E7</f>
        <v>0.13859076061595893</v>
      </c>
      <c r="J7">
        <f>YEAR(Table1[[#This Row],[Order Date]])</f>
        <v>2023</v>
      </c>
      <c r="K7" t="str">
        <f>TEXT(Table1[[#This Row],[Order Date]], "MMM")</f>
        <v>Jan</v>
      </c>
    </row>
    <row r="8" spans="1:12">
      <c r="A8">
        <v>1286</v>
      </c>
      <c r="B8" s="4" t="s">
        <v>26</v>
      </c>
      <c r="C8" t="s">
        <v>27</v>
      </c>
      <c r="D8" t="s">
        <v>22</v>
      </c>
      <c r="E8" s="8">
        <v>1138</v>
      </c>
      <c r="F8" s="8">
        <v>839</v>
      </c>
      <c r="G8" t="s">
        <v>18</v>
      </c>
      <c r="H8" t="s">
        <v>15</v>
      </c>
      <c r="I8">
        <f>F8/E8</f>
        <v>0.73725834797891032</v>
      </c>
      <c r="J8">
        <f>YEAR(Table1[[#This Row],[Order Date]])</f>
        <v>2023</v>
      </c>
      <c r="K8" t="str">
        <f>TEXT(Table1[[#This Row],[Order Date]], "MMM")</f>
        <v>Jan</v>
      </c>
    </row>
    <row r="9" spans="1:12">
      <c r="A9">
        <v>1671</v>
      </c>
      <c r="B9" s="4" t="s">
        <v>26</v>
      </c>
      <c r="C9" t="s">
        <v>28</v>
      </c>
      <c r="D9" t="s">
        <v>22</v>
      </c>
      <c r="E9" s="8">
        <v>711</v>
      </c>
      <c r="F9" s="8">
        <v>546</v>
      </c>
      <c r="G9" t="s">
        <v>14</v>
      </c>
      <c r="H9" t="s">
        <v>15</v>
      </c>
      <c r="I9">
        <f>F9/E9</f>
        <v>0.76793248945147674</v>
      </c>
      <c r="J9">
        <f>YEAR(Table1[[#This Row],[Order Date]])</f>
        <v>2023</v>
      </c>
      <c r="K9" t="str">
        <f>TEXT(Table1[[#This Row],[Order Date]], "MMM")</f>
        <v>Jan</v>
      </c>
    </row>
    <row r="10" spans="1:12">
      <c r="A10">
        <v>1687</v>
      </c>
      <c r="B10" s="4" t="s">
        <v>26</v>
      </c>
      <c r="C10" t="s">
        <v>29</v>
      </c>
      <c r="D10" t="s">
        <v>22</v>
      </c>
      <c r="E10" s="8">
        <v>3360</v>
      </c>
      <c r="F10" s="8">
        <v>867</v>
      </c>
      <c r="G10" t="s">
        <v>18</v>
      </c>
      <c r="H10" t="s">
        <v>19</v>
      </c>
      <c r="I10">
        <f>F10/E10</f>
        <v>0.25803571428571431</v>
      </c>
      <c r="J10">
        <f>YEAR(Table1[[#This Row],[Order Date]])</f>
        <v>2023</v>
      </c>
      <c r="K10" t="str">
        <f>TEXT(Table1[[#This Row],[Order Date]], "MMM")</f>
        <v>Jan</v>
      </c>
    </row>
    <row r="11" spans="1:12">
      <c r="A11">
        <v>1742</v>
      </c>
      <c r="B11" s="4" t="s">
        <v>26</v>
      </c>
      <c r="C11" t="s">
        <v>17</v>
      </c>
      <c r="D11" t="s">
        <v>22</v>
      </c>
      <c r="E11" s="8">
        <v>112</v>
      </c>
      <c r="F11" s="8">
        <v>878</v>
      </c>
      <c r="G11" t="s">
        <v>14</v>
      </c>
      <c r="H11" t="s">
        <v>15</v>
      </c>
      <c r="I11">
        <f>F11/E11</f>
        <v>7.8392857142857144</v>
      </c>
      <c r="J11">
        <f>YEAR(Table1[[#This Row],[Order Date]])</f>
        <v>2023</v>
      </c>
      <c r="K11" t="str">
        <f>TEXT(Table1[[#This Row],[Order Date]], "MMM")</f>
        <v>Jan</v>
      </c>
    </row>
    <row r="12" spans="1:12">
      <c r="A12">
        <v>1985</v>
      </c>
      <c r="B12" s="4" t="s">
        <v>26</v>
      </c>
      <c r="C12" t="s">
        <v>27</v>
      </c>
      <c r="D12" t="s">
        <v>22</v>
      </c>
      <c r="E12" s="8">
        <v>4720</v>
      </c>
      <c r="F12" s="8">
        <v>539</v>
      </c>
      <c r="G12" t="s">
        <v>30</v>
      </c>
      <c r="H12" t="s">
        <v>19</v>
      </c>
      <c r="I12">
        <f>F12/E12</f>
        <v>0.11419491525423729</v>
      </c>
      <c r="J12">
        <f>YEAR(Table1[[#This Row],[Order Date]])</f>
        <v>2023</v>
      </c>
      <c r="K12" t="str">
        <f>TEXT(Table1[[#This Row],[Order Date]], "MMM")</f>
        <v>Jan</v>
      </c>
    </row>
    <row r="13" spans="1:12">
      <c r="A13">
        <v>1235</v>
      </c>
      <c r="B13" s="4" t="s">
        <v>31</v>
      </c>
      <c r="C13" t="s">
        <v>28</v>
      </c>
      <c r="D13" t="s">
        <v>25</v>
      </c>
      <c r="E13" s="8">
        <v>4746</v>
      </c>
      <c r="F13" s="8">
        <v>196</v>
      </c>
      <c r="G13" t="s">
        <v>30</v>
      </c>
      <c r="H13" t="s">
        <v>19</v>
      </c>
      <c r="I13">
        <f>F13/E13</f>
        <v>4.1297935103244837E-2</v>
      </c>
      <c r="J13">
        <f>YEAR(Table1[[#This Row],[Order Date]])</f>
        <v>2023</v>
      </c>
      <c r="K13" t="str">
        <f>TEXT(Table1[[#This Row],[Order Date]], "MMM")</f>
        <v>Jan</v>
      </c>
    </row>
    <row r="14" spans="1:12">
      <c r="A14">
        <v>1311</v>
      </c>
      <c r="B14" s="4" t="s">
        <v>31</v>
      </c>
      <c r="C14" t="s">
        <v>12</v>
      </c>
      <c r="D14" t="s">
        <v>25</v>
      </c>
      <c r="E14" s="8">
        <v>3281</v>
      </c>
      <c r="F14" s="8">
        <v>876</v>
      </c>
      <c r="G14" t="s">
        <v>18</v>
      </c>
      <c r="H14" t="s">
        <v>15</v>
      </c>
      <c r="I14">
        <f>F14/E14</f>
        <v>0.26699177080158487</v>
      </c>
      <c r="J14">
        <f>YEAR(Table1[[#This Row],[Order Date]])</f>
        <v>2023</v>
      </c>
      <c r="K14" t="str">
        <f>TEXT(Table1[[#This Row],[Order Date]], "MMM")</f>
        <v>Jan</v>
      </c>
    </row>
    <row r="15" spans="1:12">
      <c r="A15">
        <v>1470</v>
      </c>
      <c r="B15" s="4" t="s">
        <v>31</v>
      </c>
      <c r="C15" t="s">
        <v>27</v>
      </c>
      <c r="D15" t="s">
        <v>13</v>
      </c>
      <c r="E15" s="8">
        <v>2148</v>
      </c>
      <c r="F15" s="8">
        <v>95</v>
      </c>
      <c r="G15" t="s">
        <v>30</v>
      </c>
      <c r="H15" t="s">
        <v>15</v>
      </c>
      <c r="I15">
        <f>F15/E15</f>
        <v>4.4227188081936687E-2</v>
      </c>
      <c r="J15">
        <f>YEAR(Table1[[#This Row],[Order Date]])</f>
        <v>2023</v>
      </c>
      <c r="K15" t="str">
        <f>TEXT(Table1[[#This Row],[Order Date]], "MMM")</f>
        <v>Jan</v>
      </c>
    </row>
    <row r="16" spans="1:12">
      <c r="A16">
        <v>1693</v>
      </c>
      <c r="B16" s="4" t="s">
        <v>31</v>
      </c>
      <c r="C16" t="s">
        <v>17</v>
      </c>
      <c r="D16" t="s">
        <v>25</v>
      </c>
      <c r="E16" s="8">
        <v>2054</v>
      </c>
      <c r="F16" s="8">
        <v>374</v>
      </c>
      <c r="G16" t="s">
        <v>30</v>
      </c>
      <c r="H16" t="s">
        <v>19</v>
      </c>
      <c r="I16">
        <f>F16/E16</f>
        <v>0.18208373904576436</v>
      </c>
      <c r="J16">
        <f>YEAR(Table1[[#This Row],[Order Date]])</f>
        <v>2023</v>
      </c>
      <c r="K16" t="str">
        <f>TEXT(Table1[[#This Row],[Order Date]], "MMM")</f>
        <v>Jan</v>
      </c>
    </row>
    <row r="17" spans="1:11">
      <c r="A17">
        <v>1635</v>
      </c>
      <c r="B17" s="4" t="s">
        <v>32</v>
      </c>
      <c r="C17" t="s">
        <v>28</v>
      </c>
      <c r="D17" t="s">
        <v>25</v>
      </c>
      <c r="E17" s="8">
        <v>2838</v>
      </c>
      <c r="F17" s="8">
        <v>727</v>
      </c>
      <c r="G17" t="s">
        <v>18</v>
      </c>
      <c r="H17" t="s">
        <v>19</v>
      </c>
      <c r="I17">
        <f>F17/E17</f>
        <v>0.25616631430584919</v>
      </c>
      <c r="J17">
        <f>YEAR(Table1[[#This Row],[Order Date]])</f>
        <v>2023</v>
      </c>
      <c r="K17" t="str">
        <f>TEXT(Table1[[#This Row],[Order Date]], "MMM")</f>
        <v>Jan</v>
      </c>
    </row>
    <row r="18" spans="1:11">
      <c r="A18">
        <v>1911</v>
      </c>
      <c r="B18" s="4" t="s">
        <v>32</v>
      </c>
      <c r="C18" t="s">
        <v>27</v>
      </c>
      <c r="D18" t="s">
        <v>25</v>
      </c>
      <c r="E18" s="8">
        <v>1244</v>
      </c>
      <c r="F18" s="8">
        <v>459</v>
      </c>
      <c r="G18" t="s">
        <v>30</v>
      </c>
      <c r="H18" t="s">
        <v>19</v>
      </c>
      <c r="I18">
        <f>F18/E18</f>
        <v>0.36897106109324757</v>
      </c>
      <c r="J18">
        <f>YEAR(Table1[[#This Row],[Order Date]])</f>
        <v>2023</v>
      </c>
      <c r="K18" t="str">
        <f>TEXT(Table1[[#This Row],[Order Date]], "MMM")</f>
        <v>Jan</v>
      </c>
    </row>
    <row r="19" spans="1:11">
      <c r="A19">
        <v>1057</v>
      </c>
      <c r="B19" s="4" t="s">
        <v>33</v>
      </c>
      <c r="C19" t="s">
        <v>24</v>
      </c>
      <c r="D19" t="s">
        <v>22</v>
      </c>
      <c r="E19" s="8">
        <v>3787</v>
      </c>
      <c r="F19" s="8">
        <v>674</v>
      </c>
      <c r="G19" t="s">
        <v>18</v>
      </c>
      <c r="H19" t="s">
        <v>19</v>
      </c>
      <c r="I19">
        <f>F19/E19</f>
        <v>0.17797729073144969</v>
      </c>
      <c r="J19">
        <f>YEAR(Table1[[#This Row],[Order Date]])</f>
        <v>2023</v>
      </c>
      <c r="K19" t="str">
        <f>TEXT(Table1[[#This Row],[Order Date]], "MMM")</f>
        <v>Jan</v>
      </c>
    </row>
    <row r="20" spans="1:11">
      <c r="A20">
        <v>1190</v>
      </c>
      <c r="B20" s="4" t="s">
        <v>33</v>
      </c>
      <c r="C20" t="s">
        <v>29</v>
      </c>
      <c r="D20" t="s">
        <v>22</v>
      </c>
      <c r="E20" s="8">
        <v>190</v>
      </c>
      <c r="F20" s="8">
        <v>756</v>
      </c>
      <c r="G20" t="s">
        <v>23</v>
      </c>
      <c r="H20" t="s">
        <v>15</v>
      </c>
      <c r="I20">
        <f>F20/E20</f>
        <v>3.9789473684210526</v>
      </c>
      <c r="J20">
        <f>YEAR(Table1[[#This Row],[Order Date]])</f>
        <v>2023</v>
      </c>
      <c r="K20" t="str">
        <f>TEXT(Table1[[#This Row],[Order Date]], "MMM")</f>
        <v>Jan</v>
      </c>
    </row>
    <row r="21" spans="1:11">
      <c r="A21">
        <v>1384</v>
      </c>
      <c r="B21" s="4" t="s">
        <v>33</v>
      </c>
      <c r="C21" t="s">
        <v>12</v>
      </c>
      <c r="D21" t="s">
        <v>25</v>
      </c>
      <c r="E21" s="8">
        <v>1416</v>
      </c>
      <c r="F21" s="8">
        <v>52</v>
      </c>
      <c r="G21" t="s">
        <v>30</v>
      </c>
      <c r="H21" t="s">
        <v>15</v>
      </c>
      <c r="I21">
        <f>F21/E21</f>
        <v>3.6723163841807911E-2</v>
      </c>
      <c r="J21">
        <f>YEAR(Table1[[#This Row],[Order Date]])</f>
        <v>2023</v>
      </c>
      <c r="K21" t="str">
        <f>TEXT(Table1[[#This Row],[Order Date]], "MMM")</f>
        <v>Jan</v>
      </c>
    </row>
    <row r="22" spans="1:11">
      <c r="A22">
        <v>1421</v>
      </c>
      <c r="B22" s="4" t="s">
        <v>33</v>
      </c>
      <c r="C22" t="s">
        <v>24</v>
      </c>
      <c r="D22" t="s">
        <v>25</v>
      </c>
      <c r="E22" s="8">
        <v>4336</v>
      </c>
      <c r="F22" s="8">
        <v>880</v>
      </c>
      <c r="G22" t="s">
        <v>18</v>
      </c>
      <c r="H22" t="s">
        <v>19</v>
      </c>
      <c r="I22">
        <f>F22/E22</f>
        <v>0.2029520295202952</v>
      </c>
      <c r="J22">
        <f>YEAR(Table1[[#This Row],[Order Date]])</f>
        <v>2023</v>
      </c>
      <c r="K22" t="str">
        <f>TEXT(Table1[[#This Row],[Order Date]], "MMM")</f>
        <v>Jan</v>
      </c>
    </row>
    <row r="23" spans="1:11">
      <c r="A23">
        <v>1566</v>
      </c>
      <c r="B23" s="4" t="s">
        <v>33</v>
      </c>
      <c r="C23" t="s">
        <v>24</v>
      </c>
      <c r="D23" t="s">
        <v>25</v>
      </c>
      <c r="E23" s="8">
        <v>1385</v>
      </c>
      <c r="F23" s="8">
        <v>137</v>
      </c>
      <c r="G23" t="s">
        <v>30</v>
      </c>
      <c r="H23" t="s">
        <v>15</v>
      </c>
      <c r="I23">
        <f>F23/E23</f>
        <v>9.8916967509025275E-2</v>
      </c>
      <c r="J23">
        <f>YEAR(Table1[[#This Row],[Order Date]])</f>
        <v>2023</v>
      </c>
      <c r="K23" t="str">
        <f>TEXT(Table1[[#This Row],[Order Date]], "MMM")</f>
        <v>Jan</v>
      </c>
    </row>
    <row r="24" spans="1:11">
      <c r="A24">
        <v>1633</v>
      </c>
      <c r="B24" s="4" t="s">
        <v>33</v>
      </c>
      <c r="C24" t="s">
        <v>12</v>
      </c>
      <c r="D24" t="s">
        <v>13</v>
      </c>
      <c r="E24" s="8">
        <v>1563</v>
      </c>
      <c r="F24" s="8">
        <v>941</v>
      </c>
      <c r="G24" t="s">
        <v>18</v>
      </c>
      <c r="H24" t="s">
        <v>15</v>
      </c>
      <c r="I24">
        <f>F24/E24</f>
        <v>0.60204734484964806</v>
      </c>
      <c r="J24">
        <f>YEAR(Table1[[#This Row],[Order Date]])</f>
        <v>2023</v>
      </c>
      <c r="K24" t="str">
        <f>TEXT(Table1[[#This Row],[Order Date]], "MMM")</f>
        <v>Jan</v>
      </c>
    </row>
    <row r="25" spans="1:11">
      <c r="A25">
        <v>1249</v>
      </c>
      <c r="B25" s="4" t="s">
        <v>34</v>
      </c>
      <c r="C25" t="s">
        <v>24</v>
      </c>
      <c r="D25" t="s">
        <v>22</v>
      </c>
      <c r="E25" s="8">
        <v>3354</v>
      </c>
      <c r="F25" s="8">
        <v>694</v>
      </c>
      <c r="G25" t="s">
        <v>23</v>
      </c>
      <c r="H25" t="s">
        <v>19</v>
      </c>
      <c r="I25">
        <f>F25/E25</f>
        <v>0.20691711389385808</v>
      </c>
      <c r="J25">
        <f>YEAR(Table1[[#This Row],[Order Date]])</f>
        <v>2023</v>
      </c>
      <c r="K25" t="str">
        <f>TEXT(Table1[[#This Row],[Order Date]], "MMM")</f>
        <v>Jan</v>
      </c>
    </row>
    <row r="26" spans="1:11">
      <c r="A26">
        <v>1404</v>
      </c>
      <c r="B26" s="4" t="s">
        <v>34</v>
      </c>
      <c r="C26" t="s">
        <v>24</v>
      </c>
      <c r="D26" t="s">
        <v>13</v>
      </c>
      <c r="E26" s="8">
        <v>4951</v>
      </c>
      <c r="F26" s="8">
        <v>130</v>
      </c>
      <c r="G26" t="s">
        <v>30</v>
      </c>
      <c r="H26" t="s">
        <v>19</v>
      </c>
      <c r="I26">
        <f>F26/E26</f>
        <v>2.6257321753181174E-2</v>
      </c>
      <c r="J26">
        <f>YEAR(Table1[[#This Row],[Order Date]])</f>
        <v>2023</v>
      </c>
      <c r="K26" t="str">
        <f>TEXT(Table1[[#This Row],[Order Date]], "MMM")</f>
        <v>Jan</v>
      </c>
    </row>
    <row r="27" spans="1:11">
      <c r="A27">
        <v>1632</v>
      </c>
      <c r="B27" s="4" t="s">
        <v>34</v>
      </c>
      <c r="C27" t="s">
        <v>24</v>
      </c>
      <c r="D27" t="s">
        <v>25</v>
      </c>
      <c r="E27" s="8">
        <v>1945</v>
      </c>
      <c r="F27" s="8">
        <v>44</v>
      </c>
      <c r="G27" t="s">
        <v>18</v>
      </c>
      <c r="H27" t="s">
        <v>15</v>
      </c>
      <c r="I27">
        <f>F27/E27</f>
        <v>2.2622107969151671E-2</v>
      </c>
      <c r="J27">
        <f>YEAR(Table1[[#This Row],[Order Date]])</f>
        <v>2023</v>
      </c>
      <c r="K27" t="str">
        <f>TEXT(Table1[[#This Row],[Order Date]], "MMM")</f>
        <v>Jan</v>
      </c>
    </row>
    <row r="28" spans="1:11">
      <c r="A28">
        <v>1407</v>
      </c>
      <c r="B28" s="4" t="s">
        <v>35</v>
      </c>
      <c r="C28" t="s">
        <v>21</v>
      </c>
      <c r="D28" t="s">
        <v>22</v>
      </c>
      <c r="E28" s="8">
        <v>2021</v>
      </c>
      <c r="F28" s="8">
        <v>378</v>
      </c>
      <c r="G28" t="s">
        <v>14</v>
      </c>
      <c r="H28" t="s">
        <v>15</v>
      </c>
      <c r="I28">
        <f>F28/E28</f>
        <v>0.18703612073231074</v>
      </c>
      <c r="J28">
        <f>YEAR(Table1[[#This Row],[Order Date]])</f>
        <v>2023</v>
      </c>
      <c r="K28" t="str">
        <f>TEXT(Table1[[#This Row],[Order Date]], "MMM")</f>
        <v>Jan</v>
      </c>
    </row>
    <row r="29" spans="1:11">
      <c r="A29">
        <v>1980</v>
      </c>
      <c r="B29" s="4" t="s">
        <v>35</v>
      </c>
      <c r="C29" t="s">
        <v>27</v>
      </c>
      <c r="D29" t="s">
        <v>22</v>
      </c>
      <c r="E29" s="8">
        <v>2167</v>
      </c>
      <c r="F29" s="8">
        <v>826</v>
      </c>
      <c r="G29" t="s">
        <v>18</v>
      </c>
      <c r="H29" t="s">
        <v>15</v>
      </c>
      <c r="I29">
        <f>F29/E29</f>
        <v>0.38117212736502076</v>
      </c>
      <c r="J29">
        <f>YEAR(Table1[[#This Row],[Order Date]])</f>
        <v>2023</v>
      </c>
      <c r="K29" t="str">
        <f>TEXT(Table1[[#This Row],[Order Date]], "MMM")</f>
        <v>Jan</v>
      </c>
    </row>
    <row r="30" spans="1:11">
      <c r="A30">
        <v>1103</v>
      </c>
      <c r="B30" s="4" t="s">
        <v>36</v>
      </c>
      <c r="C30" t="s">
        <v>28</v>
      </c>
      <c r="D30" t="s">
        <v>22</v>
      </c>
      <c r="E30" s="8">
        <v>364</v>
      </c>
      <c r="F30" s="8">
        <v>943</v>
      </c>
      <c r="G30" t="s">
        <v>18</v>
      </c>
      <c r="H30" t="s">
        <v>15</v>
      </c>
      <c r="I30">
        <f>F30/E30</f>
        <v>2.5906593406593408</v>
      </c>
      <c r="J30">
        <f>YEAR(Table1[[#This Row],[Order Date]])</f>
        <v>2023</v>
      </c>
      <c r="K30" t="str">
        <f>TEXT(Table1[[#This Row],[Order Date]], "MMM")</f>
        <v>Jan</v>
      </c>
    </row>
    <row r="31" spans="1:11">
      <c r="A31">
        <v>1734</v>
      </c>
      <c r="B31" s="4" t="s">
        <v>36</v>
      </c>
      <c r="C31" t="s">
        <v>28</v>
      </c>
      <c r="D31" t="s">
        <v>25</v>
      </c>
      <c r="E31" s="8">
        <v>2774</v>
      </c>
      <c r="F31" s="8">
        <v>449</v>
      </c>
      <c r="G31" t="s">
        <v>18</v>
      </c>
      <c r="H31" t="s">
        <v>15</v>
      </c>
      <c r="I31">
        <f>F31/E31</f>
        <v>0.16186012977649603</v>
      </c>
      <c r="J31">
        <f>YEAR(Table1[[#This Row],[Order Date]])</f>
        <v>2023</v>
      </c>
      <c r="K31" t="str">
        <f>TEXT(Table1[[#This Row],[Order Date]], "MMM")</f>
        <v>Jan</v>
      </c>
    </row>
    <row r="32" spans="1:11">
      <c r="A32">
        <v>1052</v>
      </c>
      <c r="B32" s="4" t="s">
        <v>37</v>
      </c>
      <c r="C32" t="s">
        <v>12</v>
      </c>
      <c r="D32" t="s">
        <v>22</v>
      </c>
      <c r="E32" s="8">
        <v>746</v>
      </c>
      <c r="F32" s="8">
        <v>478</v>
      </c>
      <c r="G32" t="s">
        <v>23</v>
      </c>
      <c r="H32" t="s">
        <v>15</v>
      </c>
      <c r="I32">
        <f>F32/E32</f>
        <v>0.64075067024128685</v>
      </c>
      <c r="J32">
        <f>YEAR(Table1[[#This Row],[Order Date]])</f>
        <v>2023</v>
      </c>
      <c r="K32" t="str">
        <f>TEXT(Table1[[#This Row],[Order Date]], "MMM")</f>
        <v>Jan</v>
      </c>
    </row>
    <row r="33" spans="1:11">
      <c r="A33">
        <v>1306</v>
      </c>
      <c r="B33" s="4" t="s">
        <v>37</v>
      </c>
      <c r="C33" t="s">
        <v>17</v>
      </c>
      <c r="D33" t="s">
        <v>13</v>
      </c>
      <c r="E33" s="8">
        <v>1269</v>
      </c>
      <c r="F33" s="8">
        <v>769</v>
      </c>
      <c r="G33" t="s">
        <v>23</v>
      </c>
      <c r="H33" t="s">
        <v>19</v>
      </c>
      <c r="I33">
        <f>F33/E33</f>
        <v>0.60598896769109534</v>
      </c>
      <c r="J33">
        <f>YEAR(Table1[[#This Row],[Order Date]])</f>
        <v>2023</v>
      </c>
      <c r="K33" t="str">
        <f>TEXT(Table1[[#This Row],[Order Date]], "MMM")</f>
        <v>Jan</v>
      </c>
    </row>
    <row r="34" spans="1:11">
      <c r="A34">
        <v>1798</v>
      </c>
      <c r="B34" s="4" t="s">
        <v>37</v>
      </c>
      <c r="C34" t="s">
        <v>28</v>
      </c>
      <c r="D34" t="s">
        <v>13</v>
      </c>
      <c r="E34" s="8">
        <v>3705</v>
      </c>
      <c r="F34" s="8">
        <v>935</v>
      </c>
      <c r="G34" t="s">
        <v>30</v>
      </c>
      <c r="H34" t="s">
        <v>15</v>
      </c>
      <c r="I34">
        <f>F34/E34</f>
        <v>0.25236167341430499</v>
      </c>
      <c r="J34">
        <f>YEAR(Table1[[#This Row],[Order Date]])</f>
        <v>2023</v>
      </c>
      <c r="K34" t="str">
        <f>TEXT(Table1[[#This Row],[Order Date]], "MMM")</f>
        <v>Jan</v>
      </c>
    </row>
    <row r="35" spans="1:11">
      <c r="A35">
        <v>1848</v>
      </c>
      <c r="B35" s="4" t="s">
        <v>37</v>
      </c>
      <c r="C35" t="s">
        <v>28</v>
      </c>
      <c r="D35" t="s">
        <v>25</v>
      </c>
      <c r="E35" s="8">
        <v>580</v>
      </c>
      <c r="F35" s="8">
        <v>710</v>
      </c>
      <c r="G35" t="s">
        <v>18</v>
      </c>
      <c r="H35" t="s">
        <v>15</v>
      </c>
      <c r="I35">
        <f>F35/E35</f>
        <v>1.2241379310344827</v>
      </c>
      <c r="J35">
        <f>YEAR(Table1[[#This Row],[Order Date]])</f>
        <v>2023</v>
      </c>
      <c r="K35" t="str">
        <f>TEXT(Table1[[#This Row],[Order Date]], "MMM")</f>
        <v>Jan</v>
      </c>
    </row>
    <row r="36" spans="1:11">
      <c r="A36">
        <v>1763</v>
      </c>
      <c r="B36" s="4" t="s">
        <v>38</v>
      </c>
      <c r="C36" t="s">
        <v>12</v>
      </c>
      <c r="D36" t="s">
        <v>13</v>
      </c>
      <c r="E36" s="8">
        <v>4628</v>
      </c>
      <c r="F36" s="8">
        <v>737</v>
      </c>
      <c r="G36" t="s">
        <v>30</v>
      </c>
      <c r="H36" t="s">
        <v>19</v>
      </c>
      <c r="I36">
        <f>F36/E36</f>
        <v>0.15924805531547104</v>
      </c>
      <c r="J36">
        <f>YEAR(Table1[[#This Row],[Order Date]])</f>
        <v>2023</v>
      </c>
      <c r="K36" t="str">
        <f>TEXT(Table1[[#This Row],[Order Date]], "MMM")</f>
        <v>Jan</v>
      </c>
    </row>
    <row r="37" spans="1:11">
      <c r="A37">
        <v>1372</v>
      </c>
      <c r="B37" s="4" t="s">
        <v>39</v>
      </c>
      <c r="C37" t="s">
        <v>27</v>
      </c>
      <c r="D37" t="s">
        <v>13</v>
      </c>
      <c r="E37" s="8">
        <v>3773</v>
      </c>
      <c r="F37" s="8">
        <v>983</v>
      </c>
      <c r="G37" t="s">
        <v>18</v>
      </c>
      <c r="H37" t="s">
        <v>15</v>
      </c>
      <c r="I37">
        <f>F37/E37</f>
        <v>0.26053538298436257</v>
      </c>
      <c r="J37">
        <f>YEAR(Table1[[#This Row],[Order Date]])</f>
        <v>2023</v>
      </c>
      <c r="K37" t="str">
        <f>TEXT(Table1[[#This Row],[Order Date]], "MMM")</f>
        <v>Jan</v>
      </c>
    </row>
    <row r="38" spans="1:11">
      <c r="A38">
        <v>1490</v>
      </c>
      <c r="B38" s="4" t="s">
        <v>39</v>
      </c>
      <c r="C38" t="s">
        <v>21</v>
      </c>
      <c r="D38" t="s">
        <v>22</v>
      </c>
      <c r="E38" s="8">
        <v>4152</v>
      </c>
      <c r="F38" s="8">
        <v>653</v>
      </c>
      <c r="G38" t="s">
        <v>18</v>
      </c>
      <c r="H38" t="s">
        <v>19</v>
      </c>
      <c r="I38">
        <f>F38/E38</f>
        <v>0.15727360308285163</v>
      </c>
      <c r="J38">
        <f>YEAR(Table1[[#This Row],[Order Date]])</f>
        <v>2023</v>
      </c>
      <c r="K38" t="str">
        <f>TEXT(Table1[[#This Row],[Order Date]], "MMM")</f>
        <v>Jan</v>
      </c>
    </row>
    <row r="39" spans="1:11">
      <c r="A39">
        <v>1574</v>
      </c>
      <c r="B39" s="4" t="s">
        <v>39</v>
      </c>
      <c r="C39" t="s">
        <v>27</v>
      </c>
      <c r="D39" t="s">
        <v>25</v>
      </c>
      <c r="E39" s="8">
        <v>2643</v>
      </c>
      <c r="F39" s="8">
        <v>348</v>
      </c>
      <c r="G39" t="s">
        <v>23</v>
      </c>
      <c r="H39" t="s">
        <v>19</v>
      </c>
      <c r="I39">
        <f>F39/E39</f>
        <v>0.13166855845629966</v>
      </c>
      <c r="J39">
        <f>YEAR(Table1[[#This Row],[Order Date]])</f>
        <v>2023</v>
      </c>
      <c r="K39" t="str">
        <f>TEXT(Table1[[#This Row],[Order Date]], "MMM")</f>
        <v>Jan</v>
      </c>
    </row>
    <row r="40" spans="1:11">
      <c r="A40">
        <v>1026</v>
      </c>
      <c r="B40" s="4" t="s">
        <v>40</v>
      </c>
      <c r="C40" t="s">
        <v>12</v>
      </c>
      <c r="D40" t="s">
        <v>13</v>
      </c>
      <c r="E40" s="8">
        <v>417</v>
      </c>
      <c r="F40" s="8">
        <v>963</v>
      </c>
      <c r="G40" t="s">
        <v>14</v>
      </c>
      <c r="H40" t="s">
        <v>15</v>
      </c>
      <c r="I40">
        <f>F40/E40</f>
        <v>2.3093525179856114</v>
      </c>
      <c r="J40">
        <f>YEAR(Table1[[#This Row],[Order Date]])</f>
        <v>2023</v>
      </c>
      <c r="K40" t="str">
        <f>TEXT(Table1[[#This Row],[Order Date]], "MMM")</f>
        <v>Jan</v>
      </c>
    </row>
    <row r="41" spans="1:11">
      <c r="A41">
        <v>1150</v>
      </c>
      <c r="B41" s="4" t="s">
        <v>40</v>
      </c>
      <c r="C41" t="s">
        <v>29</v>
      </c>
      <c r="D41" t="s">
        <v>22</v>
      </c>
      <c r="E41" s="8">
        <v>2611</v>
      </c>
      <c r="F41" s="8">
        <v>450</v>
      </c>
      <c r="G41" t="s">
        <v>18</v>
      </c>
      <c r="H41" t="s">
        <v>19</v>
      </c>
      <c r="I41">
        <f>F41/E41</f>
        <v>0.17234775947912678</v>
      </c>
      <c r="J41">
        <f>YEAR(Table1[[#This Row],[Order Date]])</f>
        <v>2023</v>
      </c>
      <c r="K41" t="str">
        <f>TEXT(Table1[[#This Row],[Order Date]], "MMM")</f>
        <v>Jan</v>
      </c>
    </row>
    <row r="42" spans="1:11">
      <c r="A42">
        <v>1340</v>
      </c>
      <c r="B42" s="4" t="s">
        <v>40</v>
      </c>
      <c r="C42" t="s">
        <v>12</v>
      </c>
      <c r="D42" t="s">
        <v>13</v>
      </c>
      <c r="E42" s="8">
        <v>4043</v>
      </c>
      <c r="F42" s="8">
        <v>842</v>
      </c>
      <c r="G42" t="s">
        <v>23</v>
      </c>
      <c r="H42" t="s">
        <v>19</v>
      </c>
      <c r="I42">
        <f>F42/E42</f>
        <v>0.20826119218402175</v>
      </c>
      <c r="J42">
        <f>YEAR(Table1[[#This Row],[Order Date]])</f>
        <v>2023</v>
      </c>
      <c r="K42" t="str">
        <f>TEXT(Table1[[#This Row],[Order Date]], "MMM")</f>
        <v>Jan</v>
      </c>
    </row>
    <row r="43" spans="1:11">
      <c r="A43">
        <v>1370</v>
      </c>
      <c r="B43" s="4" t="s">
        <v>40</v>
      </c>
      <c r="C43" t="s">
        <v>29</v>
      </c>
      <c r="D43" t="s">
        <v>22</v>
      </c>
      <c r="E43" s="8">
        <v>3341</v>
      </c>
      <c r="F43" s="8">
        <v>766</v>
      </c>
      <c r="G43" t="s">
        <v>23</v>
      </c>
      <c r="H43" t="s">
        <v>15</v>
      </c>
      <c r="I43">
        <f>F43/E43</f>
        <v>0.22927267285243938</v>
      </c>
      <c r="J43">
        <f>YEAR(Table1[[#This Row],[Order Date]])</f>
        <v>2023</v>
      </c>
      <c r="K43" t="str">
        <f>TEXT(Table1[[#This Row],[Order Date]], "MMM")</f>
        <v>Jan</v>
      </c>
    </row>
    <row r="44" spans="1:11">
      <c r="A44">
        <v>1657</v>
      </c>
      <c r="B44" s="4" t="s">
        <v>40</v>
      </c>
      <c r="C44" t="s">
        <v>12</v>
      </c>
      <c r="D44" t="s">
        <v>22</v>
      </c>
      <c r="E44" s="8">
        <v>3833</v>
      </c>
      <c r="F44" s="8">
        <v>24</v>
      </c>
      <c r="G44" t="s">
        <v>18</v>
      </c>
      <c r="H44" t="s">
        <v>15</v>
      </c>
      <c r="I44">
        <f>F44/E44</f>
        <v>6.2614140360031309E-3</v>
      </c>
      <c r="J44">
        <f>YEAR(Table1[[#This Row],[Order Date]])</f>
        <v>2023</v>
      </c>
      <c r="K44" t="str">
        <f>TEXT(Table1[[#This Row],[Order Date]], "MMM")</f>
        <v>Jan</v>
      </c>
    </row>
    <row r="45" spans="1:11">
      <c r="A45">
        <v>1753</v>
      </c>
      <c r="B45" s="4" t="s">
        <v>40</v>
      </c>
      <c r="C45" t="s">
        <v>28</v>
      </c>
      <c r="D45" t="s">
        <v>25</v>
      </c>
      <c r="E45" s="8">
        <v>1011</v>
      </c>
      <c r="F45" s="8">
        <v>329</v>
      </c>
      <c r="G45" t="s">
        <v>30</v>
      </c>
      <c r="H45" t="s">
        <v>15</v>
      </c>
      <c r="I45">
        <f>F45/E45</f>
        <v>0.32542037586547973</v>
      </c>
      <c r="J45">
        <f>YEAR(Table1[[#This Row],[Order Date]])</f>
        <v>2023</v>
      </c>
      <c r="K45" t="str">
        <f>TEXT(Table1[[#This Row],[Order Date]], "MMM")</f>
        <v>Jan</v>
      </c>
    </row>
    <row r="46" spans="1:11">
      <c r="A46">
        <v>1230</v>
      </c>
      <c r="B46" s="4" t="s">
        <v>41</v>
      </c>
      <c r="C46" t="s">
        <v>24</v>
      </c>
      <c r="D46" t="s">
        <v>25</v>
      </c>
      <c r="E46" s="8">
        <v>2642</v>
      </c>
      <c r="F46" s="8">
        <v>475</v>
      </c>
      <c r="G46" t="s">
        <v>14</v>
      </c>
      <c r="H46" t="s">
        <v>15</v>
      </c>
      <c r="I46">
        <f>F46/E46</f>
        <v>0.17978803936411808</v>
      </c>
      <c r="J46">
        <f>YEAR(Table1[[#This Row],[Order Date]])</f>
        <v>2023</v>
      </c>
      <c r="K46" t="str">
        <f>TEXT(Table1[[#This Row],[Order Date]], "MMM")</f>
        <v>Jan</v>
      </c>
    </row>
    <row r="47" spans="1:11">
      <c r="A47">
        <v>1309</v>
      </c>
      <c r="B47" s="4" t="s">
        <v>42</v>
      </c>
      <c r="C47" t="s">
        <v>29</v>
      </c>
      <c r="D47" t="s">
        <v>22</v>
      </c>
      <c r="E47" s="8">
        <v>4405</v>
      </c>
      <c r="F47" s="8">
        <v>27</v>
      </c>
      <c r="G47" t="s">
        <v>23</v>
      </c>
      <c r="H47" t="s">
        <v>19</v>
      </c>
      <c r="I47">
        <f>F47/E47</f>
        <v>6.1293984108967085E-3</v>
      </c>
      <c r="J47">
        <f>YEAR(Table1[[#This Row],[Order Date]])</f>
        <v>2023</v>
      </c>
      <c r="K47" t="str">
        <f>TEXT(Table1[[#This Row],[Order Date]], "MMM")</f>
        <v>Jan</v>
      </c>
    </row>
    <row r="48" spans="1:11">
      <c r="A48">
        <v>1423</v>
      </c>
      <c r="B48" s="4" t="s">
        <v>42</v>
      </c>
      <c r="C48" t="s">
        <v>29</v>
      </c>
      <c r="D48" t="s">
        <v>13</v>
      </c>
      <c r="E48" s="8">
        <v>1850</v>
      </c>
      <c r="F48" s="8">
        <v>361</v>
      </c>
      <c r="G48" t="s">
        <v>18</v>
      </c>
      <c r="H48" t="s">
        <v>19</v>
      </c>
      <c r="I48">
        <f>F48/E48</f>
        <v>0.19513513513513514</v>
      </c>
      <c r="J48">
        <f>YEAR(Table1[[#This Row],[Order Date]])</f>
        <v>2023</v>
      </c>
      <c r="K48" t="str">
        <f>TEXT(Table1[[#This Row],[Order Date]], "MMM")</f>
        <v>Jan</v>
      </c>
    </row>
    <row r="49" spans="1:11">
      <c r="A49">
        <v>1592</v>
      </c>
      <c r="B49" s="4" t="s">
        <v>42</v>
      </c>
      <c r="C49" t="s">
        <v>24</v>
      </c>
      <c r="D49" t="s">
        <v>25</v>
      </c>
      <c r="E49" s="8">
        <v>2466</v>
      </c>
      <c r="F49" s="8">
        <v>267</v>
      </c>
      <c r="G49" t="s">
        <v>23</v>
      </c>
      <c r="H49" t="s">
        <v>19</v>
      </c>
      <c r="I49">
        <f>F49/E49</f>
        <v>0.10827250608272507</v>
      </c>
      <c r="J49">
        <f>YEAR(Table1[[#This Row],[Order Date]])</f>
        <v>2023</v>
      </c>
      <c r="K49" t="str">
        <f>TEXT(Table1[[#This Row],[Order Date]], "MMM")</f>
        <v>Jan</v>
      </c>
    </row>
    <row r="50" spans="1:11">
      <c r="A50">
        <v>1079</v>
      </c>
      <c r="B50" s="4" t="s">
        <v>43</v>
      </c>
      <c r="C50" t="s">
        <v>12</v>
      </c>
      <c r="D50" t="s">
        <v>25</v>
      </c>
      <c r="E50" s="8">
        <v>252</v>
      </c>
      <c r="F50" s="8">
        <v>845</v>
      </c>
      <c r="G50" t="s">
        <v>18</v>
      </c>
      <c r="H50" t="s">
        <v>15</v>
      </c>
      <c r="I50">
        <f>F50/E50</f>
        <v>3.3531746031746033</v>
      </c>
      <c r="J50">
        <f>YEAR(Table1[[#This Row],[Order Date]])</f>
        <v>2023</v>
      </c>
      <c r="K50" t="str">
        <f>TEXT(Table1[[#This Row],[Order Date]], "MMM")</f>
        <v>Jan</v>
      </c>
    </row>
    <row r="51" spans="1:11">
      <c r="A51">
        <v>1535</v>
      </c>
      <c r="B51" s="4" t="s">
        <v>43</v>
      </c>
      <c r="C51" t="s">
        <v>24</v>
      </c>
      <c r="D51" t="s">
        <v>22</v>
      </c>
      <c r="E51" s="8">
        <v>2321</v>
      </c>
      <c r="F51" s="8">
        <v>825</v>
      </c>
      <c r="G51" t="s">
        <v>30</v>
      </c>
      <c r="H51" t="s">
        <v>15</v>
      </c>
      <c r="I51">
        <f>F51/E51</f>
        <v>0.35545023696682465</v>
      </c>
      <c r="J51">
        <f>YEAR(Table1[[#This Row],[Order Date]])</f>
        <v>2023</v>
      </c>
      <c r="K51" t="str">
        <f>TEXT(Table1[[#This Row],[Order Date]], "MMM")</f>
        <v>Jan</v>
      </c>
    </row>
    <row r="52" spans="1:11">
      <c r="A52">
        <v>1484</v>
      </c>
      <c r="B52" s="4" t="s">
        <v>44</v>
      </c>
      <c r="C52" t="s">
        <v>27</v>
      </c>
      <c r="D52" t="s">
        <v>22</v>
      </c>
      <c r="E52" s="8">
        <v>189</v>
      </c>
      <c r="F52" s="8">
        <v>295</v>
      </c>
      <c r="G52" t="s">
        <v>18</v>
      </c>
      <c r="H52" t="s">
        <v>19</v>
      </c>
      <c r="I52">
        <f>F52/E52</f>
        <v>1.5608465608465609</v>
      </c>
      <c r="J52">
        <f>YEAR(Table1[[#This Row],[Order Date]])</f>
        <v>2023</v>
      </c>
      <c r="K52" t="str">
        <f>TEXT(Table1[[#This Row],[Order Date]], "MMM")</f>
        <v>Jan</v>
      </c>
    </row>
    <row r="53" spans="1:11">
      <c r="A53">
        <v>1990</v>
      </c>
      <c r="B53" s="4" t="s">
        <v>44</v>
      </c>
      <c r="C53" t="s">
        <v>24</v>
      </c>
      <c r="D53" t="s">
        <v>25</v>
      </c>
      <c r="E53" s="8">
        <v>1668</v>
      </c>
      <c r="F53" s="8">
        <v>406</v>
      </c>
      <c r="G53" t="s">
        <v>14</v>
      </c>
      <c r="H53" t="s">
        <v>19</v>
      </c>
      <c r="I53">
        <f>F53/E53</f>
        <v>0.24340527577937651</v>
      </c>
      <c r="J53">
        <f>YEAR(Table1[[#This Row],[Order Date]])</f>
        <v>2023</v>
      </c>
      <c r="K53" t="str">
        <f>TEXT(Table1[[#This Row],[Order Date]], "MMM")</f>
        <v>Jan</v>
      </c>
    </row>
    <row r="54" spans="1:11">
      <c r="A54">
        <v>1573</v>
      </c>
      <c r="B54" s="4" t="s">
        <v>45</v>
      </c>
      <c r="C54" t="s">
        <v>29</v>
      </c>
      <c r="D54" t="s">
        <v>25</v>
      </c>
      <c r="E54" s="8">
        <v>1718</v>
      </c>
      <c r="F54" s="8">
        <v>156</v>
      </c>
      <c r="G54" t="s">
        <v>30</v>
      </c>
      <c r="H54" t="s">
        <v>19</v>
      </c>
      <c r="I54">
        <f>F54/E54</f>
        <v>9.0803259604190917E-2</v>
      </c>
      <c r="J54">
        <f>YEAR(Table1[[#This Row],[Order Date]])</f>
        <v>2023</v>
      </c>
      <c r="K54" t="str">
        <f>TEXT(Table1[[#This Row],[Order Date]], "MMM")</f>
        <v>Jan</v>
      </c>
    </row>
    <row r="55" spans="1:11">
      <c r="A55">
        <v>1389</v>
      </c>
      <c r="B55" s="4" t="s">
        <v>46</v>
      </c>
      <c r="C55" t="s">
        <v>12</v>
      </c>
      <c r="D55" t="s">
        <v>25</v>
      </c>
      <c r="E55" s="8">
        <v>4141</v>
      </c>
      <c r="F55" s="8">
        <v>948</v>
      </c>
      <c r="G55" t="s">
        <v>18</v>
      </c>
      <c r="H55" t="s">
        <v>19</v>
      </c>
      <c r="I55">
        <f>F55/E55</f>
        <v>0.22893021009418016</v>
      </c>
      <c r="J55">
        <f>YEAR(Table1[[#This Row],[Order Date]])</f>
        <v>2023</v>
      </c>
      <c r="K55" t="str">
        <f>TEXT(Table1[[#This Row],[Order Date]], "MMM")</f>
        <v>Jan</v>
      </c>
    </row>
    <row r="56" spans="1:11">
      <c r="A56">
        <v>1936</v>
      </c>
      <c r="B56" s="4" t="s">
        <v>46</v>
      </c>
      <c r="C56" t="s">
        <v>17</v>
      </c>
      <c r="D56" t="s">
        <v>22</v>
      </c>
      <c r="E56" s="8">
        <v>987</v>
      </c>
      <c r="F56" s="8">
        <v>994</v>
      </c>
      <c r="G56" t="s">
        <v>14</v>
      </c>
      <c r="H56" t="s">
        <v>15</v>
      </c>
      <c r="I56">
        <f>F56/E56</f>
        <v>1.0070921985815602</v>
      </c>
      <c r="J56">
        <f>YEAR(Table1[[#This Row],[Order Date]])</f>
        <v>2023</v>
      </c>
      <c r="K56" t="str">
        <f>TEXT(Table1[[#This Row],[Order Date]], "MMM")</f>
        <v>Jan</v>
      </c>
    </row>
    <row r="57" spans="1:11">
      <c r="A57">
        <v>1005</v>
      </c>
      <c r="B57" s="4" t="s">
        <v>47</v>
      </c>
      <c r="C57" t="s">
        <v>27</v>
      </c>
      <c r="D57" t="s">
        <v>22</v>
      </c>
      <c r="E57" s="8">
        <v>2400</v>
      </c>
      <c r="F57" s="8">
        <v>680</v>
      </c>
      <c r="G57" t="s">
        <v>14</v>
      </c>
      <c r="H57" t="s">
        <v>19</v>
      </c>
      <c r="I57">
        <f>F57/E57</f>
        <v>0.28333333333333333</v>
      </c>
      <c r="J57">
        <f>YEAR(Table1[[#This Row],[Order Date]])</f>
        <v>2023</v>
      </c>
      <c r="K57" t="str">
        <f>TEXT(Table1[[#This Row],[Order Date]], "MMM")</f>
        <v>Jan</v>
      </c>
    </row>
    <row r="58" spans="1:11">
      <c r="A58">
        <v>1119</v>
      </c>
      <c r="B58" s="4" t="s">
        <v>48</v>
      </c>
      <c r="C58" t="s">
        <v>24</v>
      </c>
      <c r="D58" t="s">
        <v>22</v>
      </c>
      <c r="E58" s="8">
        <v>3557</v>
      </c>
      <c r="F58" s="8">
        <v>840</v>
      </c>
      <c r="G58" t="s">
        <v>23</v>
      </c>
      <c r="H58" t="s">
        <v>19</v>
      </c>
      <c r="I58">
        <f>F58/E58</f>
        <v>0.23615406241214507</v>
      </c>
      <c r="J58">
        <f>YEAR(Table1[[#This Row],[Order Date]])</f>
        <v>2023</v>
      </c>
      <c r="K58" t="str">
        <f>TEXT(Table1[[#This Row],[Order Date]], "MMM")</f>
        <v>Jan</v>
      </c>
    </row>
    <row r="59" spans="1:11">
      <c r="A59">
        <v>1158</v>
      </c>
      <c r="B59" s="4" t="s">
        <v>48</v>
      </c>
      <c r="C59" t="s">
        <v>27</v>
      </c>
      <c r="D59" t="s">
        <v>13</v>
      </c>
      <c r="E59" s="8">
        <v>3849</v>
      </c>
      <c r="F59" s="8">
        <v>396</v>
      </c>
      <c r="G59" t="s">
        <v>30</v>
      </c>
      <c r="H59" t="s">
        <v>15</v>
      </c>
      <c r="I59">
        <f>F59/E59</f>
        <v>0.10288386593920498</v>
      </c>
      <c r="J59">
        <f>YEAR(Table1[[#This Row],[Order Date]])</f>
        <v>2023</v>
      </c>
      <c r="K59" t="str">
        <f>TEXT(Table1[[#This Row],[Order Date]], "MMM")</f>
        <v>Jan</v>
      </c>
    </row>
    <row r="60" spans="1:11">
      <c r="A60">
        <v>1304</v>
      </c>
      <c r="B60" s="4" t="s">
        <v>48</v>
      </c>
      <c r="C60" t="s">
        <v>17</v>
      </c>
      <c r="D60" t="s">
        <v>13</v>
      </c>
      <c r="E60" s="8">
        <v>1734</v>
      </c>
      <c r="F60" s="8">
        <v>303</v>
      </c>
      <c r="G60" t="s">
        <v>30</v>
      </c>
      <c r="H60" t="s">
        <v>19</v>
      </c>
      <c r="I60">
        <f>F60/E60</f>
        <v>0.17474048442906576</v>
      </c>
      <c r="J60">
        <f>YEAR(Table1[[#This Row],[Order Date]])</f>
        <v>2023</v>
      </c>
      <c r="K60" t="str">
        <f>TEXT(Table1[[#This Row],[Order Date]], "MMM")</f>
        <v>Jan</v>
      </c>
    </row>
    <row r="61" spans="1:11">
      <c r="A61">
        <v>1926</v>
      </c>
      <c r="B61" s="4" t="s">
        <v>48</v>
      </c>
      <c r="C61" t="s">
        <v>27</v>
      </c>
      <c r="D61" t="s">
        <v>25</v>
      </c>
      <c r="E61" s="8">
        <v>2214</v>
      </c>
      <c r="F61" s="8">
        <v>86</v>
      </c>
      <c r="G61" t="s">
        <v>18</v>
      </c>
      <c r="H61" t="s">
        <v>15</v>
      </c>
      <c r="I61">
        <f>F61/E61</f>
        <v>3.8843721770551037E-2</v>
      </c>
      <c r="J61">
        <f>YEAR(Table1[[#This Row],[Order Date]])</f>
        <v>2023</v>
      </c>
      <c r="K61" t="str">
        <f>TEXT(Table1[[#This Row],[Order Date]], "MMM")</f>
        <v>Jan</v>
      </c>
    </row>
    <row r="62" spans="1:11">
      <c r="A62">
        <v>1038</v>
      </c>
      <c r="B62" s="4" t="s">
        <v>49</v>
      </c>
      <c r="C62" t="s">
        <v>21</v>
      </c>
      <c r="D62" t="s">
        <v>25</v>
      </c>
      <c r="E62" s="8">
        <v>2520</v>
      </c>
      <c r="F62" s="8">
        <v>266</v>
      </c>
      <c r="G62" t="s">
        <v>30</v>
      </c>
      <c r="H62" t="s">
        <v>19</v>
      </c>
      <c r="I62">
        <f>F62/E62</f>
        <v>0.10555555555555556</v>
      </c>
      <c r="J62">
        <f>YEAR(Table1[[#This Row],[Order Date]])</f>
        <v>2023</v>
      </c>
      <c r="K62" t="str">
        <f>TEXT(Table1[[#This Row],[Order Date]], "MMM")</f>
        <v>Jan</v>
      </c>
    </row>
    <row r="63" spans="1:11">
      <c r="A63">
        <v>1823</v>
      </c>
      <c r="B63" s="4" t="s">
        <v>49</v>
      </c>
      <c r="C63" t="s">
        <v>12</v>
      </c>
      <c r="D63" t="s">
        <v>22</v>
      </c>
      <c r="E63" s="8">
        <v>919</v>
      </c>
      <c r="F63" s="8">
        <v>846</v>
      </c>
      <c r="G63" t="s">
        <v>14</v>
      </c>
      <c r="H63" t="s">
        <v>15</v>
      </c>
      <c r="I63">
        <f>F63/E63</f>
        <v>0.92056583242655055</v>
      </c>
      <c r="J63">
        <f>YEAR(Table1[[#This Row],[Order Date]])</f>
        <v>2023</v>
      </c>
      <c r="K63" t="str">
        <f>TEXT(Table1[[#This Row],[Order Date]], "MMM")</f>
        <v>Jan</v>
      </c>
    </row>
    <row r="64" spans="1:11">
      <c r="A64">
        <v>1979</v>
      </c>
      <c r="B64" s="4" t="s">
        <v>49</v>
      </c>
      <c r="C64" t="s">
        <v>12</v>
      </c>
      <c r="D64" t="s">
        <v>22</v>
      </c>
      <c r="E64" s="8">
        <v>2358</v>
      </c>
      <c r="F64" s="8">
        <v>320</v>
      </c>
      <c r="G64" t="s">
        <v>30</v>
      </c>
      <c r="H64" t="s">
        <v>15</v>
      </c>
      <c r="I64">
        <f>F64/E64</f>
        <v>0.13570822731128074</v>
      </c>
      <c r="J64">
        <f>YEAR(Table1[[#This Row],[Order Date]])</f>
        <v>2023</v>
      </c>
      <c r="K64" t="str">
        <f>TEXT(Table1[[#This Row],[Order Date]], "MMM")</f>
        <v>Jan</v>
      </c>
    </row>
    <row r="65" spans="1:11">
      <c r="A65">
        <v>1012</v>
      </c>
      <c r="B65" s="4" t="s">
        <v>50</v>
      </c>
      <c r="C65" t="s">
        <v>17</v>
      </c>
      <c r="D65" t="s">
        <v>25</v>
      </c>
      <c r="E65" s="8">
        <v>3549</v>
      </c>
      <c r="F65" s="8">
        <v>881</v>
      </c>
      <c r="G65" t="s">
        <v>23</v>
      </c>
      <c r="H65" t="s">
        <v>19</v>
      </c>
      <c r="I65">
        <f>F65/E65</f>
        <v>0.24823894054663284</v>
      </c>
      <c r="J65">
        <f>YEAR(Table1[[#This Row],[Order Date]])</f>
        <v>2023</v>
      </c>
      <c r="K65" t="str">
        <f>TEXT(Table1[[#This Row],[Order Date]], "MMM")</f>
        <v>Jan</v>
      </c>
    </row>
    <row r="66" spans="1:11">
      <c r="A66">
        <v>1924</v>
      </c>
      <c r="B66" s="4" t="s">
        <v>51</v>
      </c>
      <c r="C66" t="s">
        <v>29</v>
      </c>
      <c r="D66" t="s">
        <v>25</v>
      </c>
      <c r="E66" s="8">
        <v>395</v>
      </c>
      <c r="F66" s="8">
        <v>716</v>
      </c>
      <c r="G66" t="s">
        <v>18</v>
      </c>
      <c r="H66" t="s">
        <v>19</v>
      </c>
      <c r="I66">
        <f>F66/E66</f>
        <v>1.8126582278481012</v>
      </c>
      <c r="J66">
        <f>YEAR(Table1[[#This Row],[Order Date]])</f>
        <v>2023</v>
      </c>
      <c r="K66" t="str">
        <f>TEXT(Table1[[#This Row],[Order Date]], "MMM")</f>
        <v>Jan</v>
      </c>
    </row>
    <row r="67" spans="1:11">
      <c r="A67">
        <v>1322</v>
      </c>
      <c r="B67" s="4" t="s">
        <v>52</v>
      </c>
      <c r="C67" t="s">
        <v>29</v>
      </c>
      <c r="D67" t="s">
        <v>13</v>
      </c>
      <c r="E67" s="8">
        <v>1505</v>
      </c>
      <c r="F67" s="8">
        <v>444</v>
      </c>
      <c r="G67" t="s">
        <v>14</v>
      </c>
      <c r="H67" t="s">
        <v>15</v>
      </c>
      <c r="I67">
        <f>F67/E67</f>
        <v>0.29501661129568107</v>
      </c>
      <c r="J67">
        <f>YEAR(Table1[[#This Row],[Order Date]])</f>
        <v>2023</v>
      </c>
      <c r="K67" t="str">
        <f>TEXT(Table1[[#This Row],[Order Date]], "MMM")</f>
        <v>Jan</v>
      </c>
    </row>
    <row r="68" spans="1:11">
      <c r="A68">
        <v>1369</v>
      </c>
      <c r="B68" s="4" t="s">
        <v>52</v>
      </c>
      <c r="C68" t="s">
        <v>24</v>
      </c>
      <c r="D68" t="s">
        <v>22</v>
      </c>
      <c r="E68" s="8">
        <v>1605</v>
      </c>
      <c r="F68" s="8">
        <v>249</v>
      </c>
      <c r="G68" t="s">
        <v>30</v>
      </c>
      <c r="H68" t="s">
        <v>15</v>
      </c>
      <c r="I68">
        <f>F68/E68</f>
        <v>0.15514018691588785</v>
      </c>
      <c r="J68">
        <f>YEAR(Table1[[#This Row],[Order Date]])</f>
        <v>2023</v>
      </c>
      <c r="K68" t="str">
        <f>TEXT(Table1[[#This Row],[Order Date]], "MMM")</f>
        <v>Jan</v>
      </c>
    </row>
    <row r="69" spans="1:11">
      <c r="A69">
        <v>1896</v>
      </c>
      <c r="B69" s="4" t="s">
        <v>52</v>
      </c>
      <c r="C69" t="s">
        <v>17</v>
      </c>
      <c r="D69" t="s">
        <v>25</v>
      </c>
      <c r="E69" s="8">
        <v>4704</v>
      </c>
      <c r="F69" s="8">
        <v>210</v>
      </c>
      <c r="G69" t="s">
        <v>30</v>
      </c>
      <c r="H69" t="s">
        <v>15</v>
      </c>
      <c r="I69">
        <f>F69/E69</f>
        <v>4.4642857142857144E-2</v>
      </c>
      <c r="J69">
        <f>YEAR(Table1[[#This Row],[Order Date]])</f>
        <v>2023</v>
      </c>
      <c r="K69" t="str">
        <f>TEXT(Table1[[#This Row],[Order Date]], "MMM")</f>
        <v>Jan</v>
      </c>
    </row>
    <row r="70" spans="1:11">
      <c r="A70">
        <v>1401</v>
      </c>
      <c r="B70" s="4" t="s">
        <v>53</v>
      </c>
      <c r="C70" t="s">
        <v>28</v>
      </c>
      <c r="D70" t="s">
        <v>25</v>
      </c>
      <c r="E70" s="8">
        <v>707</v>
      </c>
      <c r="F70" s="8">
        <v>612</v>
      </c>
      <c r="G70" t="s">
        <v>30</v>
      </c>
      <c r="H70" t="s">
        <v>19</v>
      </c>
      <c r="I70">
        <f>F70/E70</f>
        <v>0.86562942008486565</v>
      </c>
      <c r="J70">
        <f>YEAR(Table1[[#This Row],[Order Date]])</f>
        <v>2023</v>
      </c>
      <c r="K70" t="str">
        <f>TEXT(Table1[[#This Row],[Order Date]], "MMM")</f>
        <v>Jan</v>
      </c>
    </row>
    <row r="71" spans="1:11">
      <c r="A71">
        <v>1439</v>
      </c>
      <c r="B71" s="4" t="s">
        <v>53</v>
      </c>
      <c r="C71" t="s">
        <v>27</v>
      </c>
      <c r="D71" t="s">
        <v>22</v>
      </c>
      <c r="E71" s="8">
        <v>323</v>
      </c>
      <c r="F71" s="8">
        <v>960</v>
      </c>
      <c r="G71" t="s">
        <v>30</v>
      </c>
      <c r="H71" t="s">
        <v>19</v>
      </c>
      <c r="I71">
        <f>F71/E71</f>
        <v>2.9721362229102168</v>
      </c>
      <c r="J71">
        <f>YEAR(Table1[[#This Row],[Order Date]])</f>
        <v>2023</v>
      </c>
      <c r="K71" t="str">
        <f>TEXT(Table1[[#This Row],[Order Date]], "MMM")</f>
        <v>Jan</v>
      </c>
    </row>
    <row r="72" spans="1:11">
      <c r="A72">
        <v>1448</v>
      </c>
      <c r="B72" s="4" t="s">
        <v>53</v>
      </c>
      <c r="C72" t="s">
        <v>27</v>
      </c>
      <c r="D72" t="s">
        <v>25</v>
      </c>
      <c r="E72" s="8">
        <v>829</v>
      </c>
      <c r="F72" s="8">
        <v>965</v>
      </c>
      <c r="G72" t="s">
        <v>14</v>
      </c>
      <c r="H72" t="s">
        <v>19</v>
      </c>
      <c r="I72">
        <f>F72/E72</f>
        <v>1.1640530759951748</v>
      </c>
      <c r="J72">
        <f>YEAR(Table1[[#This Row],[Order Date]])</f>
        <v>2023</v>
      </c>
      <c r="K72" t="str">
        <f>TEXT(Table1[[#This Row],[Order Date]], "MMM")</f>
        <v>Jan</v>
      </c>
    </row>
    <row r="73" spans="1:11">
      <c r="A73">
        <v>1910</v>
      </c>
      <c r="B73" s="4" t="s">
        <v>53</v>
      </c>
      <c r="C73" t="s">
        <v>17</v>
      </c>
      <c r="D73" t="s">
        <v>25</v>
      </c>
      <c r="E73" s="8">
        <v>390</v>
      </c>
      <c r="F73" s="8">
        <v>601</v>
      </c>
      <c r="G73" t="s">
        <v>18</v>
      </c>
      <c r="H73" t="s">
        <v>19</v>
      </c>
      <c r="I73">
        <f>F73/E73</f>
        <v>1.5410256410256411</v>
      </c>
      <c r="J73">
        <f>YEAR(Table1[[#This Row],[Order Date]])</f>
        <v>2023</v>
      </c>
      <c r="K73" t="str">
        <f>TEXT(Table1[[#This Row],[Order Date]], "MMM")</f>
        <v>Jan</v>
      </c>
    </row>
    <row r="74" spans="1:11">
      <c r="A74">
        <v>1363</v>
      </c>
      <c r="B74" s="4" t="s">
        <v>54</v>
      </c>
      <c r="C74" t="s">
        <v>24</v>
      </c>
      <c r="D74" t="s">
        <v>25</v>
      </c>
      <c r="E74" s="8">
        <v>2506</v>
      </c>
      <c r="F74" s="8">
        <v>839</v>
      </c>
      <c r="G74" t="s">
        <v>14</v>
      </c>
      <c r="H74" t="s">
        <v>19</v>
      </c>
      <c r="I74">
        <f>F74/E74</f>
        <v>0.33479648842777332</v>
      </c>
      <c r="J74">
        <f>YEAR(Table1[[#This Row],[Order Date]])</f>
        <v>2023</v>
      </c>
      <c r="K74" t="str">
        <f>TEXT(Table1[[#This Row],[Order Date]], "MMM")</f>
        <v>Jan</v>
      </c>
    </row>
    <row r="75" spans="1:11">
      <c r="A75">
        <v>1796</v>
      </c>
      <c r="B75" s="4" t="s">
        <v>54</v>
      </c>
      <c r="C75" t="s">
        <v>29</v>
      </c>
      <c r="D75" t="s">
        <v>13</v>
      </c>
      <c r="E75" s="8">
        <v>4162</v>
      </c>
      <c r="F75" s="8">
        <v>607</v>
      </c>
      <c r="G75" t="s">
        <v>30</v>
      </c>
      <c r="H75" t="s">
        <v>15</v>
      </c>
      <c r="I75">
        <f>F75/E75</f>
        <v>0.1458433445458914</v>
      </c>
      <c r="J75">
        <f>YEAR(Table1[[#This Row],[Order Date]])</f>
        <v>2023</v>
      </c>
      <c r="K75" t="str">
        <f>TEXT(Table1[[#This Row],[Order Date]], "MMM")</f>
        <v>Jan</v>
      </c>
    </row>
    <row r="76" spans="1:11">
      <c r="A76">
        <v>1858</v>
      </c>
      <c r="B76" s="4" t="s">
        <v>54</v>
      </c>
      <c r="C76" t="s">
        <v>17</v>
      </c>
      <c r="D76" t="s">
        <v>25</v>
      </c>
      <c r="E76" s="8">
        <v>1648</v>
      </c>
      <c r="F76" s="8">
        <v>373</v>
      </c>
      <c r="G76" t="s">
        <v>23</v>
      </c>
      <c r="H76" t="s">
        <v>19</v>
      </c>
      <c r="I76">
        <f>F76/E76</f>
        <v>0.22633495145631069</v>
      </c>
      <c r="J76">
        <f>YEAR(Table1[[#This Row],[Order Date]])</f>
        <v>2023</v>
      </c>
      <c r="K76" t="str">
        <f>TEXT(Table1[[#This Row],[Order Date]], "MMM")</f>
        <v>Jan</v>
      </c>
    </row>
    <row r="77" spans="1:11">
      <c r="A77">
        <v>1050</v>
      </c>
      <c r="B77" s="4" t="s">
        <v>55</v>
      </c>
      <c r="C77" t="s">
        <v>24</v>
      </c>
      <c r="D77" t="s">
        <v>13</v>
      </c>
      <c r="E77" s="8">
        <v>3143</v>
      </c>
      <c r="F77" s="8">
        <v>950</v>
      </c>
      <c r="G77" t="s">
        <v>23</v>
      </c>
      <c r="H77" t="s">
        <v>19</v>
      </c>
      <c r="I77">
        <f>F77/E77</f>
        <v>0.30225898822780783</v>
      </c>
      <c r="J77">
        <f>YEAR(Table1[[#This Row],[Order Date]])</f>
        <v>2023</v>
      </c>
      <c r="K77" t="str">
        <f>TEXT(Table1[[#This Row],[Order Date]], "MMM")</f>
        <v>Jan</v>
      </c>
    </row>
    <row r="78" spans="1:11">
      <c r="A78">
        <v>1850</v>
      </c>
      <c r="B78" s="4" t="s">
        <v>55</v>
      </c>
      <c r="C78" t="s">
        <v>24</v>
      </c>
      <c r="D78" t="s">
        <v>22</v>
      </c>
      <c r="E78" s="8">
        <v>824</v>
      </c>
      <c r="F78" s="8">
        <v>519</v>
      </c>
      <c r="G78" t="s">
        <v>18</v>
      </c>
      <c r="H78" t="s">
        <v>19</v>
      </c>
      <c r="I78">
        <f>F78/E78</f>
        <v>0.62985436893203883</v>
      </c>
      <c r="J78">
        <f>YEAR(Table1[[#This Row],[Order Date]])</f>
        <v>2023</v>
      </c>
      <c r="K78" t="str">
        <f>TEXT(Table1[[#This Row],[Order Date]], "MMM")</f>
        <v>Jan</v>
      </c>
    </row>
    <row r="79" spans="1:11">
      <c r="A79">
        <v>1506</v>
      </c>
      <c r="B79" s="4" t="s">
        <v>56</v>
      </c>
      <c r="C79" t="s">
        <v>17</v>
      </c>
      <c r="D79" t="s">
        <v>25</v>
      </c>
      <c r="E79" s="8">
        <v>4101</v>
      </c>
      <c r="F79" s="8">
        <v>778</v>
      </c>
      <c r="G79" t="s">
        <v>30</v>
      </c>
      <c r="H79" t="s">
        <v>15</v>
      </c>
      <c r="I79">
        <f>F79/E79</f>
        <v>0.18970982687149476</v>
      </c>
      <c r="J79">
        <f>YEAR(Table1[[#This Row],[Order Date]])</f>
        <v>2023</v>
      </c>
      <c r="K79" t="str">
        <f>TEXT(Table1[[#This Row],[Order Date]], "MMM")</f>
        <v>Jan</v>
      </c>
    </row>
    <row r="80" spans="1:11">
      <c r="A80">
        <v>1872</v>
      </c>
      <c r="B80" s="4" t="s">
        <v>56</v>
      </c>
      <c r="C80" t="s">
        <v>21</v>
      </c>
      <c r="D80" t="s">
        <v>13</v>
      </c>
      <c r="E80" s="8">
        <v>2615</v>
      </c>
      <c r="F80" s="8">
        <v>384</v>
      </c>
      <c r="G80" t="s">
        <v>23</v>
      </c>
      <c r="H80" t="s">
        <v>19</v>
      </c>
      <c r="I80">
        <f>F80/E80</f>
        <v>0.1468451242829828</v>
      </c>
      <c r="J80">
        <f>YEAR(Table1[[#This Row],[Order Date]])</f>
        <v>2023</v>
      </c>
      <c r="K80" t="str">
        <f>TEXT(Table1[[#This Row],[Order Date]], "MMM")</f>
        <v>Jan</v>
      </c>
    </row>
    <row r="81" spans="1:11">
      <c r="A81">
        <v>1071</v>
      </c>
      <c r="B81" s="4" t="s">
        <v>57</v>
      </c>
      <c r="C81" t="s">
        <v>17</v>
      </c>
      <c r="D81" t="s">
        <v>22</v>
      </c>
      <c r="E81" s="8">
        <v>4037</v>
      </c>
      <c r="F81" s="8">
        <v>850</v>
      </c>
      <c r="G81" t="s">
        <v>30</v>
      </c>
      <c r="H81" t="s">
        <v>19</v>
      </c>
      <c r="I81">
        <f>F81/E81</f>
        <v>0.21055239038890264</v>
      </c>
      <c r="J81">
        <f>YEAR(Table1[[#This Row],[Order Date]])</f>
        <v>2023</v>
      </c>
      <c r="K81" t="str">
        <f>TEXT(Table1[[#This Row],[Order Date]], "MMM")</f>
        <v>Feb</v>
      </c>
    </row>
    <row r="82" spans="1:11">
      <c r="A82">
        <v>1213</v>
      </c>
      <c r="B82" s="4" t="s">
        <v>57</v>
      </c>
      <c r="C82" t="s">
        <v>29</v>
      </c>
      <c r="D82" t="s">
        <v>13</v>
      </c>
      <c r="E82" s="8">
        <v>2353</v>
      </c>
      <c r="F82" s="8">
        <v>383</v>
      </c>
      <c r="G82" t="s">
        <v>23</v>
      </c>
      <c r="H82" t="s">
        <v>19</v>
      </c>
      <c r="I82">
        <f>F82/E82</f>
        <v>0.16277093072673182</v>
      </c>
      <c r="J82">
        <f>YEAR(Table1[[#This Row],[Order Date]])</f>
        <v>2023</v>
      </c>
      <c r="K82" t="str">
        <f>TEXT(Table1[[#This Row],[Order Date]], "MMM")</f>
        <v>Feb</v>
      </c>
    </row>
    <row r="83" spans="1:11">
      <c r="A83">
        <v>1231</v>
      </c>
      <c r="B83" s="4" t="s">
        <v>57</v>
      </c>
      <c r="C83" t="s">
        <v>17</v>
      </c>
      <c r="D83" t="s">
        <v>13</v>
      </c>
      <c r="E83" s="8">
        <v>3548</v>
      </c>
      <c r="F83" s="8">
        <v>323</v>
      </c>
      <c r="G83" t="s">
        <v>14</v>
      </c>
      <c r="H83" t="s">
        <v>15</v>
      </c>
      <c r="I83">
        <f>F83/E83</f>
        <v>9.1037204058624574E-2</v>
      </c>
      <c r="J83">
        <f>YEAR(Table1[[#This Row],[Order Date]])</f>
        <v>2023</v>
      </c>
      <c r="K83" t="str">
        <f>TEXT(Table1[[#This Row],[Order Date]], "MMM")</f>
        <v>Feb</v>
      </c>
    </row>
    <row r="84" spans="1:11">
      <c r="A84">
        <v>1259</v>
      </c>
      <c r="B84" s="4" t="s">
        <v>57</v>
      </c>
      <c r="C84" t="s">
        <v>28</v>
      </c>
      <c r="D84" t="s">
        <v>25</v>
      </c>
      <c r="E84" s="8">
        <v>3240</v>
      </c>
      <c r="F84" s="8">
        <v>979</v>
      </c>
      <c r="G84" t="s">
        <v>14</v>
      </c>
      <c r="H84" t="s">
        <v>15</v>
      </c>
      <c r="I84">
        <f>F84/E84</f>
        <v>0.30216049382716048</v>
      </c>
      <c r="J84">
        <f>YEAR(Table1[[#This Row],[Order Date]])</f>
        <v>2023</v>
      </c>
      <c r="K84" t="str">
        <f>TEXT(Table1[[#This Row],[Order Date]], "MMM")</f>
        <v>Feb</v>
      </c>
    </row>
    <row r="85" spans="1:11">
      <c r="A85">
        <v>1301</v>
      </c>
      <c r="B85" s="4" t="s">
        <v>57</v>
      </c>
      <c r="C85" t="s">
        <v>24</v>
      </c>
      <c r="D85" t="s">
        <v>13</v>
      </c>
      <c r="E85" s="8">
        <v>1956</v>
      </c>
      <c r="F85" s="8">
        <v>996</v>
      </c>
      <c r="G85" t="s">
        <v>18</v>
      </c>
      <c r="H85" t="s">
        <v>15</v>
      </c>
      <c r="I85">
        <f>F85/E85</f>
        <v>0.50920245398773001</v>
      </c>
      <c r="J85">
        <f>YEAR(Table1[[#This Row],[Order Date]])</f>
        <v>2023</v>
      </c>
      <c r="K85" t="str">
        <f>TEXT(Table1[[#This Row],[Order Date]], "MMM")</f>
        <v>Feb</v>
      </c>
    </row>
    <row r="86" spans="1:11">
      <c r="A86">
        <v>1621</v>
      </c>
      <c r="B86" s="4" t="s">
        <v>57</v>
      </c>
      <c r="C86" t="s">
        <v>21</v>
      </c>
      <c r="D86" t="s">
        <v>22</v>
      </c>
      <c r="E86" s="8">
        <v>1785</v>
      </c>
      <c r="F86" s="8">
        <v>857</v>
      </c>
      <c r="G86" t="s">
        <v>18</v>
      </c>
      <c r="H86" t="s">
        <v>19</v>
      </c>
      <c r="I86">
        <f>F86/E86</f>
        <v>0.48011204481792719</v>
      </c>
      <c r="J86">
        <f>YEAR(Table1[[#This Row],[Order Date]])</f>
        <v>2023</v>
      </c>
      <c r="K86" t="str">
        <f>TEXT(Table1[[#This Row],[Order Date]], "MMM")</f>
        <v>Feb</v>
      </c>
    </row>
    <row r="87" spans="1:11">
      <c r="A87">
        <v>1712</v>
      </c>
      <c r="B87" s="4" t="s">
        <v>57</v>
      </c>
      <c r="C87" t="s">
        <v>28</v>
      </c>
      <c r="D87" t="s">
        <v>22</v>
      </c>
      <c r="E87" s="8">
        <v>4524</v>
      </c>
      <c r="F87" s="8">
        <v>494</v>
      </c>
      <c r="G87" t="s">
        <v>18</v>
      </c>
      <c r="H87" t="s">
        <v>19</v>
      </c>
      <c r="I87">
        <f>F87/E87</f>
        <v>0.10919540229885058</v>
      </c>
      <c r="J87">
        <f>YEAR(Table1[[#This Row],[Order Date]])</f>
        <v>2023</v>
      </c>
      <c r="K87" t="str">
        <f>TEXT(Table1[[#This Row],[Order Date]], "MMM")</f>
        <v>Feb</v>
      </c>
    </row>
    <row r="88" spans="1:11">
      <c r="A88">
        <v>1383</v>
      </c>
      <c r="B88" s="4" t="s">
        <v>58</v>
      </c>
      <c r="C88" t="s">
        <v>28</v>
      </c>
      <c r="D88" t="s">
        <v>13</v>
      </c>
      <c r="E88" s="8">
        <v>3835</v>
      </c>
      <c r="F88" s="8">
        <v>402</v>
      </c>
      <c r="G88" t="s">
        <v>23</v>
      </c>
      <c r="H88" t="s">
        <v>15</v>
      </c>
      <c r="I88">
        <f>F88/E88</f>
        <v>0.10482398956975228</v>
      </c>
      <c r="J88">
        <f>YEAR(Table1[[#This Row],[Order Date]])</f>
        <v>2023</v>
      </c>
      <c r="K88" t="str">
        <f>TEXT(Table1[[#This Row],[Order Date]], "MMM")</f>
        <v>Feb</v>
      </c>
    </row>
    <row r="89" spans="1:11">
      <c r="A89">
        <v>1775</v>
      </c>
      <c r="B89" s="4" t="s">
        <v>58</v>
      </c>
      <c r="C89" t="s">
        <v>29</v>
      </c>
      <c r="D89" t="s">
        <v>25</v>
      </c>
      <c r="E89" s="8">
        <v>4783</v>
      </c>
      <c r="F89" s="8">
        <v>252</v>
      </c>
      <c r="G89" t="s">
        <v>18</v>
      </c>
      <c r="H89" t="s">
        <v>19</v>
      </c>
      <c r="I89">
        <f>F89/E89</f>
        <v>5.2686598369224333E-2</v>
      </c>
      <c r="J89">
        <f>YEAR(Table1[[#This Row],[Order Date]])</f>
        <v>2023</v>
      </c>
      <c r="K89" t="str">
        <f>TEXT(Table1[[#This Row],[Order Date]], "MMM")</f>
        <v>Feb</v>
      </c>
    </row>
    <row r="90" spans="1:11">
      <c r="A90">
        <v>1063</v>
      </c>
      <c r="B90" s="4" t="s">
        <v>59</v>
      </c>
      <c r="C90" t="s">
        <v>17</v>
      </c>
      <c r="D90" t="s">
        <v>13</v>
      </c>
      <c r="E90" s="8">
        <v>4456</v>
      </c>
      <c r="F90" s="8">
        <v>158</v>
      </c>
      <c r="G90" t="s">
        <v>30</v>
      </c>
      <c r="H90" t="s">
        <v>15</v>
      </c>
      <c r="I90">
        <f>F90/E90</f>
        <v>3.5457809694793535E-2</v>
      </c>
      <c r="J90">
        <f>YEAR(Table1[[#This Row],[Order Date]])</f>
        <v>2023</v>
      </c>
      <c r="K90" t="str">
        <f>TEXT(Table1[[#This Row],[Order Date]], "MMM")</f>
        <v>Feb</v>
      </c>
    </row>
    <row r="91" spans="1:11">
      <c r="A91">
        <v>1696</v>
      </c>
      <c r="B91" s="4" t="s">
        <v>59</v>
      </c>
      <c r="C91" t="s">
        <v>17</v>
      </c>
      <c r="D91" t="s">
        <v>25</v>
      </c>
      <c r="E91" s="8">
        <v>3670</v>
      </c>
      <c r="F91" s="8">
        <v>371</v>
      </c>
      <c r="G91" t="s">
        <v>23</v>
      </c>
      <c r="H91" t="s">
        <v>15</v>
      </c>
      <c r="I91">
        <f>F91/E91</f>
        <v>0.10108991825613078</v>
      </c>
      <c r="J91">
        <f>YEAR(Table1[[#This Row],[Order Date]])</f>
        <v>2023</v>
      </c>
      <c r="K91" t="str">
        <f>TEXT(Table1[[#This Row],[Order Date]], "MMM")</f>
        <v>Feb</v>
      </c>
    </row>
    <row r="92" spans="1:11">
      <c r="A92">
        <v>1184</v>
      </c>
      <c r="B92" s="4" t="s">
        <v>60</v>
      </c>
      <c r="C92" t="s">
        <v>28</v>
      </c>
      <c r="D92" t="s">
        <v>22</v>
      </c>
      <c r="E92" s="8">
        <v>1630</v>
      </c>
      <c r="F92" s="8">
        <v>799</v>
      </c>
      <c r="G92" t="s">
        <v>30</v>
      </c>
      <c r="H92" t="s">
        <v>19</v>
      </c>
      <c r="I92">
        <f>F92/E92</f>
        <v>0.4901840490797546</v>
      </c>
      <c r="J92">
        <f>YEAR(Table1[[#This Row],[Order Date]])</f>
        <v>2023</v>
      </c>
      <c r="K92" t="str">
        <f>TEXT(Table1[[#This Row],[Order Date]], "MMM")</f>
        <v>Feb</v>
      </c>
    </row>
    <row r="93" spans="1:11">
      <c r="A93">
        <v>1486</v>
      </c>
      <c r="B93" s="4" t="s">
        <v>61</v>
      </c>
      <c r="C93" t="s">
        <v>29</v>
      </c>
      <c r="D93" t="s">
        <v>13</v>
      </c>
      <c r="E93" s="8">
        <v>2096</v>
      </c>
      <c r="F93" s="8">
        <v>490</v>
      </c>
      <c r="G93" t="s">
        <v>23</v>
      </c>
      <c r="H93" t="s">
        <v>15</v>
      </c>
      <c r="I93">
        <f>F93/E93</f>
        <v>0.23377862595419846</v>
      </c>
      <c r="J93">
        <f>YEAR(Table1[[#This Row],[Order Date]])</f>
        <v>2023</v>
      </c>
      <c r="K93" t="str">
        <f>TEXT(Table1[[#This Row],[Order Date]], "MMM")</f>
        <v>Feb</v>
      </c>
    </row>
    <row r="94" spans="1:11">
      <c r="A94">
        <v>1607</v>
      </c>
      <c r="B94" s="4" t="s">
        <v>61</v>
      </c>
      <c r="C94" t="s">
        <v>12</v>
      </c>
      <c r="D94" t="s">
        <v>25</v>
      </c>
      <c r="E94" s="8">
        <v>2297</v>
      </c>
      <c r="F94" s="8">
        <v>234</v>
      </c>
      <c r="G94" t="s">
        <v>14</v>
      </c>
      <c r="H94" t="s">
        <v>15</v>
      </c>
      <c r="I94">
        <f>F94/E94</f>
        <v>0.10187200696560732</v>
      </c>
      <c r="J94">
        <f>YEAR(Table1[[#This Row],[Order Date]])</f>
        <v>2023</v>
      </c>
      <c r="K94" t="str">
        <f>TEXT(Table1[[#This Row],[Order Date]], "MMM")</f>
        <v>Feb</v>
      </c>
    </row>
    <row r="95" spans="1:11">
      <c r="A95">
        <v>1078</v>
      </c>
      <c r="B95" s="4" t="s">
        <v>62</v>
      </c>
      <c r="C95" t="s">
        <v>12</v>
      </c>
      <c r="D95" t="s">
        <v>22</v>
      </c>
      <c r="E95" s="8">
        <v>3690</v>
      </c>
      <c r="F95" s="8">
        <v>979</v>
      </c>
      <c r="G95" t="s">
        <v>23</v>
      </c>
      <c r="H95" t="s">
        <v>19</v>
      </c>
      <c r="I95">
        <f>F95/E95</f>
        <v>0.26531165311653115</v>
      </c>
      <c r="J95">
        <f>YEAR(Table1[[#This Row],[Order Date]])</f>
        <v>2023</v>
      </c>
      <c r="K95" t="str">
        <f>TEXT(Table1[[#This Row],[Order Date]], "MMM")</f>
        <v>Feb</v>
      </c>
    </row>
    <row r="96" spans="1:11">
      <c r="A96">
        <v>1272</v>
      </c>
      <c r="B96" s="4" t="s">
        <v>62</v>
      </c>
      <c r="C96" t="s">
        <v>29</v>
      </c>
      <c r="D96" t="s">
        <v>13</v>
      </c>
      <c r="E96" s="8">
        <v>3955</v>
      </c>
      <c r="F96" s="8">
        <v>205</v>
      </c>
      <c r="G96" t="s">
        <v>14</v>
      </c>
      <c r="H96" t="s">
        <v>19</v>
      </c>
      <c r="I96">
        <f>F96/E96</f>
        <v>5.1833122629582805E-2</v>
      </c>
      <c r="J96">
        <f>YEAR(Table1[[#This Row],[Order Date]])</f>
        <v>2023</v>
      </c>
      <c r="K96" t="str">
        <f>TEXT(Table1[[#This Row],[Order Date]], "MMM")</f>
        <v>Feb</v>
      </c>
    </row>
    <row r="97" spans="1:11">
      <c r="A97">
        <v>1542</v>
      </c>
      <c r="B97" s="4" t="s">
        <v>62</v>
      </c>
      <c r="C97" t="s">
        <v>27</v>
      </c>
      <c r="D97" t="s">
        <v>13</v>
      </c>
      <c r="E97" s="8">
        <v>307</v>
      </c>
      <c r="F97" s="8">
        <v>856</v>
      </c>
      <c r="G97" t="s">
        <v>14</v>
      </c>
      <c r="H97" t="s">
        <v>19</v>
      </c>
      <c r="I97">
        <f>F97/E97</f>
        <v>2.7882736156351791</v>
      </c>
      <c r="J97">
        <f>YEAR(Table1[[#This Row],[Order Date]])</f>
        <v>2023</v>
      </c>
      <c r="K97" t="str">
        <f>TEXT(Table1[[#This Row],[Order Date]], "MMM")</f>
        <v>Feb</v>
      </c>
    </row>
    <row r="98" spans="1:11">
      <c r="A98">
        <v>1440</v>
      </c>
      <c r="B98" s="4" t="s">
        <v>63</v>
      </c>
      <c r="C98" t="s">
        <v>17</v>
      </c>
      <c r="D98" t="s">
        <v>25</v>
      </c>
      <c r="E98" s="8">
        <v>374</v>
      </c>
      <c r="F98" s="8">
        <v>876</v>
      </c>
      <c r="G98" t="s">
        <v>23</v>
      </c>
      <c r="H98" t="s">
        <v>15</v>
      </c>
      <c r="I98">
        <f>F98/E98</f>
        <v>2.3422459893048129</v>
      </c>
      <c r="J98">
        <f>YEAR(Table1[[#This Row],[Order Date]])</f>
        <v>2023</v>
      </c>
      <c r="K98" t="str">
        <f>TEXT(Table1[[#This Row],[Order Date]], "MMM")</f>
        <v>Feb</v>
      </c>
    </row>
    <row r="99" spans="1:11">
      <c r="A99">
        <v>1765</v>
      </c>
      <c r="B99" s="4" t="s">
        <v>63</v>
      </c>
      <c r="C99" t="s">
        <v>29</v>
      </c>
      <c r="D99" t="s">
        <v>22</v>
      </c>
      <c r="E99" s="8">
        <v>2162</v>
      </c>
      <c r="F99" s="8">
        <v>390</v>
      </c>
      <c r="G99" t="s">
        <v>14</v>
      </c>
      <c r="H99" t="s">
        <v>19</v>
      </c>
      <c r="I99">
        <f>F99/E99</f>
        <v>0.18038852913968548</v>
      </c>
      <c r="J99">
        <f>YEAR(Table1[[#This Row],[Order Date]])</f>
        <v>2023</v>
      </c>
      <c r="K99" t="str">
        <f>TEXT(Table1[[#This Row],[Order Date]], "MMM")</f>
        <v>Feb</v>
      </c>
    </row>
    <row r="100" spans="1:11">
      <c r="A100">
        <v>1381</v>
      </c>
      <c r="B100" s="4" t="s">
        <v>64</v>
      </c>
      <c r="C100" t="s">
        <v>24</v>
      </c>
      <c r="D100" t="s">
        <v>22</v>
      </c>
      <c r="E100" s="8">
        <v>3144</v>
      </c>
      <c r="F100" s="8">
        <v>215</v>
      </c>
      <c r="G100" t="s">
        <v>18</v>
      </c>
      <c r="H100" t="s">
        <v>19</v>
      </c>
      <c r="I100">
        <f>F100/E100</f>
        <v>6.8384223918575057E-2</v>
      </c>
      <c r="J100">
        <f>YEAR(Table1[[#This Row],[Order Date]])</f>
        <v>2023</v>
      </c>
      <c r="K100" t="str">
        <f>TEXT(Table1[[#This Row],[Order Date]], "MMM")</f>
        <v>Feb</v>
      </c>
    </row>
    <row r="101" spans="1:11">
      <c r="A101">
        <v>1715</v>
      </c>
      <c r="B101" s="4" t="s">
        <v>64</v>
      </c>
      <c r="C101" t="s">
        <v>29</v>
      </c>
      <c r="D101" t="s">
        <v>22</v>
      </c>
      <c r="E101" s="8">
        <v>2917</v>
      </c>
      <c r="F101" s="8">
        <v>357</v>
      </c>
      <c r="G101" t="s">
        <v>14</v>
      </c>
      <c r="H101" t="s">
        <v>15</v>
      </c>
      <c r="I101">
        <f>F101/E101</f>
        <v>0.12238601302708262</v>
      </c>
      <c r="J101">
        <f>YEAR(Table1[[#This Row],[Order Date]])</f>
        <v>2023</v>
      </c>
      <c r="K101" t="str">
        <f>TEXT(Table1[[#This Row],[Order Date]], "MMM")</f>
        <v>Feb</v>
      </c>
    </row>
    <row r="102" spans="1:11">
      <c r="A102">
        <v>1095</v>
      </c>
      <c r="B102" s="4" t="s">
        <v>65</v>
      </c>
      <c r="C102" t="s">
        <v>29</v>
      </c>
      <c r="D102" t="s">
        <v>25</v>
      </c>
      <c r="E102" s="8">
        <v>281</v>
      </c>
      <c r="F102" s="8">
        <v>259</v>
      </c>
      <c r="G102" t="s">
        <v>18</v>
      </c>
      <c r="H102" t="s">
        <v>19</v>
      </c>
      <c r="I102">
        <f>F102/E102</f>
        <v>0.92170818505338081</v>
      </c>
      <c r="J102">
        <f>YEAR(Table1[[#This Row],[Order Date]])</f>
        <v>2023</v>
      </c>
      <c r="K102" t="str">
        <f>TEXT(Table1[[#This Row],[Order Date]], "MMM")</f>
        <v>Feb</v>
      </c>
    </row>
    <row r="103" spans="1:11">
      <c r="A103">
        <v>1485</v>
      </c>
      <c r="B103" s="4" t="s">
        <v>65</v>
      </c>
      <c r="C103" t="s">
        <v>29</v>
      </c>
      <c r="D103" t="s">
        <v>22</v>
      </c>
      <c r="E103" s="8">
        <v>3412</v>
      </c>
      <c r="F103" s="8">
        <v>400</v>
      </c>
      <c r="G103" t="s">
        <v>18</v>
      </c>
      <c r="H103" t="s">
        <v>19</v>
      </c>
      <c r="I103">
        <f>F103/E103</f>
        <v>0.11723329425556858</v>
      </c>
      <c r="J103">
        <f>YEAR(Table1[[#This Row],[Order Date]])</f>
        <v>2023</v>
      </c>
      <c r="K103" t="str">
        <f>TEXT(Table1[[#This Row],[Order Date]], "MMM")</f>
        <v>Feb</v>
      </c>
    </row>
    <row r="104" spans="1:11">
      <c r="A104">
        <v>1562</v>
      </c>
      <c r="B104" s="4" t="s">
        <v>65</v>
      </c>
      <c r="C104" t="s">
        <v>27</v>
      </c>
      <c r="D104" t="s">
        <v>25</v>
      </c>
      <c r="E104" s="8">
        <v>4163</v>
      </c>
      <c r="F104" s="8">
        <v>617</v>
      </c>
      <c r="G104" t="s">
        <v>30</v>
      </c>
      <c r="H104" t="s">
        <v>15</v>
      </c>
      <c r="I104">
        <f>F104/E104</f>
        <v>0.14821042517415325</v>
      </c>
      <c r="J104">
        <f>YEAR(Table1[[#This Row],[Order Date]])</f>
        <v>2023</v>
      </c>
      <c r="K104" t="str">
        <f>TEXT(Table1[[#This Row],[Order Date]], "MMM")</f>
        <v>Feb</v>
      </c>
    </row>
    <row r="105" spans="1:11">
      <c r="A105">
        <v>1604</v>
      </c>
      <c r="B105" s="4" t="s">
        <v>65</v>
      </c>
      <c r="C105" t="s">
        <v>21</v>
      </c>
      <c r="D105" t="s">
        <v>22</v>
      </c>
      <c r="E105" s="8">
        <v>4334</v>
      </c>
      <c r="F105" s="8">
        <v>184</v>
      </c>
      <c r="G105" t="s">
        <v>14</v>
      </c>
      <c r="H105" t="s">
        <v>15</v>
      </c>
      <c r="I105">
        <f>F105/E105</f>
        <v>4.2455006922011998E-2</v>
      </c>
      <c r="J105">
        <f>YEAR(Table1[[#This Row],[Order Date]])</f>
        <v>2023</v>
      </c>
      <c r="K105" t="str">
        <f>TEXT(Table1[[#This Row],[Order Date]], "MMM")</f>
        <v>Feb</v>
      </c>
    </row>
    <row r="106" spans="1:11">
      <c r="A106">
        <v>1222</v>
      </c>
      <c r="B106" s="4" t="s">
        <v>66</v>
      </c>
      <c r="C106" t="s">
        <v>24</v>
      </c>
      <c r="D106" t="s">
        <v>13</v>
      </c>
      <c r="E106" s="8">
        <v>317</v>
      </c>
      <c r="F106" s="8">
        <v>909</v>
      </c>
      <c r="G106" t="s">
        <v>18</v>
      </c>
      <c r="H106" t="s">
        <v>15</v>
      </c>
      <c r="I106">
        <f>F106/E106</f>
        <v>2.8675078864353312</v>
      </c>
      <c r="J106">
        <f>YEAR(Table1[[#This Row],[Order Date]])</f>
        <v>2023</v>
      </c>
      <c r="K106" t="str">
        <f>TEXT(Table1[[#This Row],[Order Date]], "MMM")</f>
        <v>Feb</v>
      </c>
    </row>
    <row r="107" spans="1:11">
      <c r="A107">
        <v>1768</v>
      </c>
      <c r="B107" s="4" t="s">
        <v>66</v>
      </c>
      <c r="C107" t="s">
        <v>21</v>
      </c>
      <c r="D107" t="s">
        <v>22</v>
      </c>
      <c r="E107" s="8">
        <v>729</v>
      </c>
      <c r="F107" s="8">
        <v>750</v>
      </c>
      <c r="G107" t="s">
        <v>18</v>
      </c>
      <c r="H107" t="s">
        <v>19</v>
      </c>
      <c r="I107">
        <f>F107/E107</f>
        <v>1.0288065843621399</v>
      </c>
      <c r="J107">
        <f>YEAR(Table1[[#This Row],[Order Date]])</f>
        <v>2023</v>
      </c>
      <c r="K107" t="str">
        <f>TEXT(Table1[[#This Row],[Order Date]], "MMM")</f>
        <v>Feb</v>
      </c>
    </row>
    <row r="108" spans="1:11">
      <c r="A108">
        <v>1803</v>
      </c>
      <c r="B108" s="4" t="s">
        <v>66</v>
      </c>
      <c r="C108" t="s">
        <v>12</v>
      </c>
      <c r="D108" t="s">
        <v>22</v>
      </c>
      <c r="E108" s="8">
        <v>3969</v>
      </c>
      <c r="F108" s="8">
        <v>608</v>
      </c>
      <c r="G108" t="s">
        <v>23</v>
      </c>
      <c r="H108" t="s">
        <v>19</v>
      </c>
      <c r="I108">
        <f>F108/E108</f>
        <v>0.15318720080624842</v>
      </c>
      <c r="J108">
        <f>YEAR(Table1[[#This Row],[Order Date]])</f>
        <v>2023</v>
      </c>
      <c r="K108" t="str">
        <f>TEXT(Table1[[#This Row],[Order Date]], "MMM")</f>
        <v>Feb</v>
      </c>
    </row>
    <row r="109" spans="1:11">
      <c r="A109">
        <v>1275</v>
      </c>
      <c r="B109" s="4" t="s">
        <v>67</v>
      </c>
      <c r="C109" t="s">
        <v>24</v>
      </c>
      <c r="D109" t="s">
        <v>13</v>
      </c>
      <c r="E109" s="8">
        <v>1721</v>
      </c>
      <c r="F109" s="8">
        <v>78</v>
      </c>
      <c r="G109" t="s">
        <v>14</v>
      </c>
      <c r="H109" t="s">
        <v>19</v>
      </c>
      <c r="I109">
        <f>F109/E109</f>
        <v>4.5322486926205698E-2</v>
      </c>
      <c r="J109">
        <f>YEAR(Table1[[#This Row],[Order Date]])</f>
        <v>2023</v>
      </c>
      <c r="K109" t="str">
        <f>TEXT(Table1[[#This Row],[Order Date]], "MMM")</f>
        <v>Feb</v>
      </c>
    </row>
    <row r="110" spans="1:11">
      <c r="A110">
        <v>1451</v>
      </c>
      <c r="B110" s="4" t="s">
        <v>68</v>
      </c>
      <c r="C110" t="s">
        <v>12</v>
      </c>
      <c r="D110" t="s">
        <v>13</v>
      </c>
      <c r="E110" s="8">
        <v>4717</v>
      </c>
      <c r="F110" s="8">
        <v>196</v>
      </c>
      <c r="G110" t="s">
        <v>23</v>
      </c>
      <c r="H110" t="s">
        <v>19</v>
      </c>
      <c r="I110">
        <f>F110/E110</f>
        <v>4.1551833792664826E-2</v>
      </c>
      <c r="J110">
        <f>YEAR(Table1[[#This Row],[Order Date]])</f>
        <v>2023</v>
      </c>
      <c r="K110" t="str">
        <f>TEXT(Table1[[#This Row],[Order Date]], "MMM")</f>
        <v>Feb</v>
      </c>
    </row>
    <row r="111" spans="1:11">
      <c r="A111">
        <v>1133</v>
      </c>
      <c r="B111" s="4" t="s">
        <v>69</v>
      </c>
      <c r="C111" t="s">
        <v>21</v>
      </c>
      <c r="D111" t="s">
        <v>22</v>
      </c>
      <c r="E111" s="8">
        <v>4198</v>
      </c>
      <c r="F111" s="8">
        <v>562</v>
      </c>
      <c r="G111" t="s">
        <v>14</v>
      </c>
      <c r="H111" t="s">
        <v>15</v>
      </c>
      <c r="I111">
        <f>F111/E111</f>
        <v>0.13387327298713672</v>
      </c>
      <c r="J111">
        <f>YEAR(Table1[[#This Row],[Order Date]])</f>
        <v>2023</v>
      </c>
      <c r="K111" t="str">
        <f>TEXT(Table1[[#This Row],[Order Date]], "MMM")</f>
        <v>Feb</v>
      </c>
    </row>
    <row r="112" spans="1:11">
      <c r="A112">
        <v>1175</v>
      </c>
      <c r="B112" s="4" t="s">
        <v>69</v>
      </c>
      <c r="C112" t="s">
        <v>24</v>
      </c>
      <c r="D112" t="s">
        <v>25</v>
      </c>
      <c r="E112" s="8">
        <v>134</v>
      </c>
      <c r="F112" s="8">
        <v>631</v>
      </c>
      <c r="G112" t="s">
        <v>23</v>
      </c>
      <c r="H112" t="s">
        <v>15</v>
      </c>
      <c r="I112">
        <f>F112/E112</f>
        <v>4.7089552238805972</v>
      </c>
      <c r="J112">
        <f>YEAR(Table1[[#This Row],[Order Date]])</f>
        <v>2023</v>
      </c>
      <c r="K112" t="str">
        <f>TEXT(Table1[[#This Row],[Order Date]], "MMM")</f>
        <v>Feb</v>
      </c>
    </row>
    <row r="113" spans="1:11">
      <c r="A113">
        <v>1428</v>
      </c>
      <c r="B113" s="4" t="s">
        <v>69</v>
      </c>
      <c r="C113" t="s">
        <v>29</v>
      </c>
      <c r="D113" t="s">
        <v>22</v>
      </c>
      <c r="E113" s="8">
        <v>276</v>
      </c>
      <c r="F113" s="8">
        <v>640</v>
      </c>
      <c r="G113" t="s">
        <v>30</v>
      </c>
      <c r="H113" t="s">
        <v>15</v>
      </c>
      <c r="I113">
        <f>F113/E113</f>
        <v>2.318840579710145</v>
      </c>
      <c r="J113">
        <f>YEAR(Table1[[#This Row],[Order Date]])</f>
        <v>2023</v>
      </c>
      <c r="K113" t="str">
        <f>TEXT(Table1[[#This Row],[Order Date]], "MMM")</f>
        <v>Feb</v>
      </c>
    </row>
    <row r="114" spans="1:11">
      <c r="A114">
        <v>1729</v>
      </c>
      <c r="B114" s="4" t="s">
        <v>69</v>
      </c>
      <c r="C114" t="s">
        <v>29</v>
      </c>
      <c r="D114" t="s">
        <v>13</v>
      </c>
      <c r="E114" s="8">
        <v>4373</v>
      </c>
      <c r="F114" s="8">
        <v>618</v>
      </c>
      <c r="G114" t="s">
        <v>18</v>
      </c>
      <c r="H114" t="s">
        <v>19</v>
      </c>
      <c r="I114">
        <f>F114/E114</f>
        <v>0.14132174708438144</v>
      </c>
      <c r="J114">
        <f>YEAR(Table1[[#This Row],[Order Date]])</f>
        <v>2023</v>
      </c>
      <c r="K114" t="str">
        <f>TEXT(Table1[[#This Row],[Order Date]], "MMM")</f>
        <v>Feb</v>
      </c>
    </row>
    <row r="115" spans="1:11">
      <c r="A115">
        <v>1009</v>
      </c>
      <c r="B115" s="4" t="s">
        <v>70</v>
      </c>
      <c r="C115" t="s">
        <v>21</v>
      </c>
      <c r="D115" t="s">
        <v>25</v>
      </c>
      <c r="E115" s="8">
        <v>4023</v>
      </c>
      <c r="F115" s="8">
        <v>250</v>
      </c>
      <c r="G115" t="s">
        <v>23</v>
      </c>
      <c r="H115" t="s">
        <v>15</v>
      </c>
      <c r="I115">
        <f>F115/E115</f>
        <v>6.214267959234402E-2</v>
      </c>
      <c r="J115">
        <f>YEAR(Table1[[#This Row],[Order Date]])</f>
        <v>2023</v>
      </c>
      <c r="K115" t="str">
        <f>TEXT(Table1[[#This Row],[Order Date]], "MMM")</f>
        <v>Feb</v>
      </c>
    </row>
    <row r="116" spans="1:11">
      <c r="A116">
        <v>1464</v>
      </c>
      <c r="B116" s="4" t="s">
        <v>70</v>
      </c>
      <c r="C116" t="s">
        <v>28</v>
      </c>
      <c r="D116" t="s">
        <v>22</v>
      </c>
      <c r="E116" s="8">
        <v>3454</v>
      </c>
      <c r="F116" s="8">
        <v>166</v>
      </c>
      <c r="G116" t="s">
        <v>14</v>
      </c>
      <c r="H116" t="s">
        <v>19</v>
      </c>
      <c r="I116">
        <f>F116/E116</f>
        <v>4.8060220034742328E-2</v>
      </c>
      <c r="J116">
        <f>YEAR(Table1[[#This Row],[Order Date]])</f>
        <v>2023</v>
      </c>
      <c r="K116" t="str">
        <f>TEXT(Table1[[#This Row],[Order Date]], "MMM")</f>
        <v>Feb</v>
      </c>
    </row>
    <row r="117" spans="1:11">
      <c r="A117">
        <v>1618</v>
      </c>
      <c r="B117" s="4" t="s">
        <v>70</v>
      </c>
      <c r="C117" t="s">
        <v>24</v>
      </c>
      <c r="D117" t="s">
        <v>22</v>
      </c>
      <c r="E117" s="8">
        <v>1976</v>
      </c>
      <c r="F117" s="8">
        <v>540</v>
      </c>
      <c r="G117" t="s">
        <v>30</v>
      </c>
      <c r="H117" t="s">
        <v>15</v>
      </c>
      <c r="I117">
        <f>F117/E117</f>
        <v>0.27327935222672067</v>
      </c>
      <c r="J117">
        <f>YEAR(Table1[[#This Row],[Order Date]])</f>
        <v>2023</v>
      </c>
      <c r="K117" t="str">
        <f>TEXT(Table1[[#This Row],[Order Date]], "MMM")</f>
        <v>Feb</v>
      </c>
    </row>
    <row r="118" spans="1:11">
      <c r="A118">
        <v>1795</v>
      </c>
      <c r="B118" s="4" t="s">
        <v>70</v>
      </c>
      <c r="C118" t="s">
        <v>21</v>
      </c>
      <c r="D118" t="s">
        <v>22</v>
      </c>
      <c r="E118" s="8">
        <v>4460</v>
      </c>
      <c r="F118" s="8">
        <v>227</v>
      </c>
      <c r="G118" t="s">
        <v>30</v>
      </c>
      <c r="H118" t="s">
        <v>19</v>
      </c>
      <c r="I118">
        <f>F118/E118</f>
        <v>5.0896860986547082E-2</v>
      </c>
      <c r="J118">
        <f>YEAR(Table1[[#This Row],[Order Date]])</f>
        <v>2023</v>
      </c>
      <c r="K118" t="str">
        <f>TEXT(Table1[[#This Row],[Order Date]], "MMM")</f>
        <v>Feb</v>
      </c>
    </row>
    <row r="119" spans="1:11">
      <c r="A119">
        <v>1624</v>
      </c>
      <c r="B119" s="4" t="s">
        <v>71</v>
      </c>
      <c r="C119" t="s">
        <v>27</v>
      </c>
      <c r="D119" t="s">
        <v>22</v>
      </c>
      <c r="E119" s="8">
        <v>902</v>
      </c>
      <c r="F119" s="8">
        <v>55</v>
      </c>
      <c r="G119" t="s">
        <v>30</v>
      </c>
      <c r="H119" t="s">
        <v>15</v>
      </c>
      <c r="I119">
        <f>F119/E119</f>
        <v>6.097560975609756E-2</v>
      </c>
      <c r="J119">
        <f>YEAR(Table1[[#This Row],[Order Date]])</f>
        <v>2023</v>
      </c>
      <c r="K119" t="str">
        <f>TEXT(Table1[[#This Row],[Order Date]], "MMM")</f>
        <v>Feb</v>
      </c>
    </row>
    <row r="120" spans="1:11">
      <c r="A120">
        <v>1719</v>
      </c>
      <c r="B120" s="4" t="s">
        <v>71</v>
      </c>
      <c r="C120" t="s">
        <v>21</v>
      </c>
      <c r="D120" t="s">
        <v>22</v>
      </c>
      <c r="E120" s="8">
        <v>3550</v>
      </c>
      <c r="F120" s="8">
        <v>311</v>
      </c>
      <c r="G120" t="s">
        <v>14</v>
      </c>
      <c r="H120" t="s">
        <v>15</v>
      </c>
      <c r="I120">
        <f>F120/E120</f>
        <v>8.7605633802816898E-2</v>
      </c>
      <c r="J120">
        <f>YEAR(Table1[[#This Row],[Order Date]])</f>
        <v>2023</v>
      </c>
      <c r="K120" t="str">
        <f>TEXT(Table1[[#This Row],[Order Date]], "MMM")</f>
        <v>Feb</v>
      </c>
    </row>
    <row r="121" spans="1:11">
      <c r="A121">
        <v>1738</v>
      </c>
      <c r="B121" s="4" t="s">
        <v>71</v>
      </c>
      <c r="C121" t="s">
        <v>29</v>
      </c>
      <c r="D121" t="s">
        <v>22</v>
      </c>
      <c r="E121" s="8">
        <v>4479</v>
      </c>
      <c r="F121" s="8">
        <v>226</v>
      </c>
      <c r="G121" t="s">
        <v>23</v>
      </c>
      <c r="H121" t="s">
        <v>15</v>
      </c>
      <c r="I121">
        <f>F121/E121</f>
        <v>5.0457691448984147E-2</v>
      </c>
      <c r="J121">
        <f>YEAR(Table1[[#This Row],[Order Date]])</f>
        <v>2023</v>
      </c>
      <c r="K121" t="str">
        <f>TEXT(Table1[[#This Row],[Order Date]], "MMM")</f>
        <v>Feb</v>
      </c>
    </row>
    <row r="122" spans="1:11">
      <c r="A122">
        <v>1929</v>
      </c>
      <c r="B122" s="4" t="s">
        <v>71</v>
      </c>
      <c r="C122" t="s">
        <v>27</v>
      </c>
      <c r="D122" t="s">
        <v>25</v>
      </c>
      <c r="E122" s="8">
        <v>2920</v>
      </c>
      <c r="F122" s="8">
        <v>450</v>
      </c>
      <c r="G122" t="s">
        <v>14</v>
      </c>
      <c r="H122" t="s">
        <v>15</v>
      </c>
      <c r="I122">
        <f>F122/E122</f>
        <v>0.1541095890410959</v>
      </c>
      <c r="J122">
        <f>YEAR(Table1[[#This Row],[Order Date]])</f>
        <v>2023</v>
      </c>
      <c r="K122" t="str">
        <f>TEXT(Table1[[#This Row],[Order Date]], "MMM")</f>
        <v>Feb</v>
      </c>
    </row>
    <row r="123" spans="1:11">
      <c r="A123">
        <v>1686</v>
      </c>
      <c r="B123" s="4" t="s">
        <v>72</v>
      </c>
      <c r="C123" t="s">
        <v>27</v>
      </c>
      <c r="D123" t="s">
        <v>25</v>
      </c>
      <c r="E123" s="8">
        <v>896</v>
      </c>
      <c r="F123" s="8">
        <v>853</v>
      </c>
      <c r="G123" t="s">
        <v>18</v>
      </c>
      <c r="H123" t="s">
        <v>15</v>
      </c>
      <c r="I123">
        <f>F123/E123</f>
        <v>0.9520089285714286</v>
      </c>
      <c r="J123">
        <f>YEAR(Table1[[#This Row],[Order Date]])</f>
        <v>2023</v>
      </c>
      <c r="K123" t="str">
        <f>TEXT(Table1[[#This Row],[Order Date]], "MMM")</f>
        <v>Feb</v>
      </c>
    </row>
    <row r="124" spans="1:11">
      <c r="A124">
        <v>1691</v>
      </c>
      <c r="B124" s="4" t="s">
        <v>72</v>
      </c>
      <c r="C124" t="s">
        <v>17</v>
      </c>
      <c r="D124" t="s">
        <v>13</v>
      </c>
      <c r="E124" s="8">
        <v>4655</v>
      </c>
      <c r="F124" s="8">
        <v>345</v>
      </c>
      <c r="G124" t="s">
        <v>14</v>
      </c>
      <c r="H124" t="s">
        <v>19</v>
      </c>
      <c r="I124">
        <f>F124/E124</f>
        <v>7.4113856068743281E-2</v>
      </c>
      <c r="J124">
        <f>YEAR(Table1[[#This Row],[Order Date]])</f>
        <v>2023</v>
      </c>
      <c r="K124" t="str">
        <f>TEXT(Table1[[#This Row],[Order Date]], "MMM")</f>
        <v>Feb</v>
      </c>
    </row>
    <row r="125" spans="1:11">
      <c r="A125">
        <v>1102</v>
      </c>
      <c r="B125" s="4" t="s">
        <v>73</v>
      </c>
      <c r="C125" t="s">
        <v>29</v>
      </c>
      <c r="D125" t="s">
        <v>25</v>
      </c>
      <c r="E125" s="8">
        <v>3084</v>
      </c>
      <c r="F125" s="8">
        <v>46</v>
      </c>
      <c r="G125" t="s">
        <v>18</v>
      </c>
      <c r="H125" t="s">
        <v>15</v>
      </c>
      <c r="I125">
        <f>F125/E125</f>
        <v>1.4915693904020753E-2</v>
      </c>
      <c r="J125">
        <f>YEAR(Table1[[#This Row],[Order Date]])</f>
        <v>2023</v>
      </c>
      <c r="K125" t="str">
        <f>TEXT(Table1[[#This Row],[Order Date]], "MMM")</f>
        <v>Feb</v>
      </c>
    </row>
    <row r="126" spans="1:11">
      <c r="A126">
        <v>1527</v>
      </c>
      <c r="B126" s="4" t="s">
        <v>74</v>
      </c>
      <c r="C126" t="s">
        <v>29</v>
      </c>
      <c r="D126" t="s">
        <v>13</v>
      </c>
      <c r="E126" s="8">
        <v>511</v>
      </c>
      <c r="F126" s="8">
        <v>484</v>
      </c>
      <c r="G126" t="s">
        <v>23</v>
      </c>
      <c r="H126" t="s">
        <v>15</v>
      </c>
      <c r="I126">
        <f>F126/E126</f>
        <v>0.94716242661448136</v>
      </c>
      <c r="J126">
        <f>YEAR(Table1[[#This Row],[Order Date]])</f>
        <v>2023</v>
      </c>
      <c r="K126" t="str">
        <f>TEXT(Table1[[#This Row],[Order Date]], "MMM")</f>
        <v>Feb</v>
      </c>
    </row>
    <row r="127" spans="1:11">
      <c r="A127">
        <v>1070</v>
      </c>
      <c r="B127" s="4" t="s">
        <v>75</v>
      </c>
      <c r="C127" t="s">
        <v>27</v>
      </c>
      <c r="D127" t="s">
        <v>22</v>
      </c>
      <c r="E127" s="8">
        <v>2017</v>
      </c>
      <c r="F127" s="8">
        <v>390</v>
      </c>
      <c r="G127" t="s">
        <v>14</v>
      </c>
      <c r="H127" t="s">
        <v>19</v>
      </c>
      <c r="I127">
        <f>F127/E127</f>
        <v>0.19335647000495787</v>
      </c>
      <c r="J127">
        <f>YEAR(Table1[[#This Row],[Order Date]])</f>
        <v>2023</v>
      </c>
      <c r="K127" t="str">
        <f>TEXT(Table1[[#This Row],[Order Date]], "MMM")</f>
        <v>Feb</v>
      </c>
    </row>
    <row r="128" spans="1:11">
      <c r="A128">
        <v>1224</v>
      </c>
      <c r="B128" s="4" t="s">
        <v>75</v>
      </c>
      <c r="C128" t="s">
        <v>28</v>
      </c>
      <c r="D128" t="s">
        <v>13</v>
      </c>
      <c r="E128" s="8">
        <v>4606</v>
      </c>
      <c r="F128" s="8">
        <v>869</v>
      </c>
      <c r="G128" t="s">
        <v>30</v>
      </c>
      <c r="H128" t="s">
        <v>19</v>
      </c>
      <c r="I128">
        <f>F128/E128</f>
        <v>0.18866695614415979</v>
      </c>
      <c r="J128">
        <f>YEAR(Table1[[#This Row],[Order Date]])</f>
        <v>2023</v>
      </c>
      <c r="K128" t="str">
        <f>TEXT(Table1[[#This Row],[Order Date]], "MMM")</f>
        <v>Feb</v>
      </c>
    </row>
    <row r="129" spans="1:11">
      <c r="A129">
        <v>1265</v>
      </c>
      <c r="B129" s="4" t="s">
        <v>75</v>
      </c>
      <c r="C129" t="s">
        <v>27</v>
      </c>
      <c r="D129" t="s">
        <v>13</v>
      </c>
      <c r="E129" s="8">
        <v>4299</v>
      </c>
      <c r="F129" s="8">
        <v>214</v>
      </c>
      <c r="G129" t="s">
        <v>14</v>
      </c>
      <c r="H129" t="s">
        <v>15</v>
      </c>
      <c r="I129">
        <f>F129/E129</f>
        <v>4.9779018376366599E-2</v>
      </c>
      <c r="J129">
        <f>YEAR(Table1[[#This Row],[Order Date]])</f>
        <v>2023</v>
      </c>
      <c r="K129" t="str">
        <f>TEXT(Table1[[#This Row],[Order Date]], "MMM")</f>
        <v>Feb</v>
      </c>
    </row>
    <row r="130" spans="1:11">
      <c r="A130">
        <v>1812</v>
      </c>
      <c r="B130" s="4" t="s">
        <v>75</v>
      </c>
      <c r="C130" t="s">
        <v>17</v>
      </c>
      <c r="D130" t="s">
        <v>13</v>
      </c>
      <c r="E130" s="8">
        <v>1452</v>
      </c>
      <c r="F130" s="8">
        <v>473</v>
      </c>
      <c r="G130" t="s">
        <v>23</v>
      </c>
      <c r="H130" t="s">
        <v>15</v>
      </c>
      <c r="I130">
        <f>F130/E130</f>
        <v>0.32575757575757575</v>
      </c>
      <c r="J130">
        <f>YEAR(Table1[[#This Row],[Order Date]])</f>
        <v>2023</v>
      </c>
      <c r="K130" t="str">
        <f>TEXT(Table1[[#This Row],[Order Date]], "MMM")</f>
        <v>Feb</v>
      </c>
    </row>
    <row r="131" spans="1:11">
      <c r="A131">
        <v>1552</v>
      </c>
      <c r="B131" s="4" t="s">
        <v>76</v>
      </c>
      <c r="C131" t="s">
        <v>27</v>
      </c>
      <c r="D131" t="s">
        <v>25</v>
      </c>
      <c r="E131" s="8">
        <v>2828</v>
      </c>
      <c r="F131" s="8">
        <v>391</v>
      </c>
      <c r="G131" t="s">
        <v>18</v>
      </c>
      <c r="H131" t="s">
        <v>15</v>
      </c>
      <c r="I131">
        <f>F131/E131</f>
        <v>0.13826025459688826</v>
      </c>
      <c r="J131">
        <f>YEAR(Table1[[#This Row],[Order Date]])</f>
        <v>2023</v>
      </c>
      <c r="K131" t="str">
        <f>TEXT(Table1[[#This Row],[Order Date]], "MMM")</f>
        <v>Feb</v>
      </c>
    </row>
    <row r="132" spans="1:11">
      <c r="A132">
        <v>1659</v>
      </c>
      <c r="B132" s="4" t="s">
        <v>76</v>
      </c>
      <c r="C132" t="s">
        <v>29</v>
      </c>
      <c r="D132" t="s">
        <v>22</v>
      </c>
      <c r="E132" s="8">
        <v>4251</v>
      </c>
      <c r="F132" s="8">
        <v>174</v>
      </c>
      <c r="G132" t="s">
        <v>30</v>
      </c>
      <c r="H132" t="s">
        <v>19</v>
      </c>
      <c r="I132">
        <f>F132/E132</f>
        <v>4.0931545518701484E-2</v>
      </c>
      <c r="J132">
        <f>YEAR(Table1[[#This Row],[Order Date]])</f>
        <v>2023</v>
      </c>
      <c r="K132" t="str">
        <f>TEXT(Table1[[#This Row],[Order Date]], "MMM")</f>
        <v>Feb</v>
      </c>
    </row>
    <row r="133" spans="1:11">
      <c r="A133">
        <v>1294</v>
      </c>
      <c r="B133" s="4" t="s">
        <v>77</v>
      </c>
      <c r="C133" t="s">
        <v>21</v>
      </c>
      <c r="D133" t="s">
        <v>13</v>
      </c>
      <c r="E133" s="8">
        <v>135</v>
      </c>
      <c r="F133" s="8">
        <v>839</v>
      </c>
      <c r="G133" t="s">
        <v>14</v>
      </c>
      <c r="H133" t="s">
        <v>19</v>
      </c>
      <c r="I133">
        <f>F133/E133</f>
        <v>6.2148148148148152</v>
      </c>
      <c r="J133">
        <f>YEAR(Table1[[#This Row],[Order Date]])</f>
        <v>2023</v>
      </c>
      <c r="K133" t="str">
        <f>TEXT(Table1[[#This Row],[Order Date]], "MMM")</f>
        <v>Feb</v>
      </c>
    </row>
    <row r="134" spans="1:11">
      <c r="A134">
        <v>1452</v>
      </c>
      <c r="B134" s="4" t="s">
        <v>77</v>
      </c>
      <c r="C134" t="s">
        <v>21</v>
      </c>
      <c r="D134" t="s">
        <v>25</v>
      </c>
      <c r="E134" s="8">
        <v>2985</v>
      </c>
      <c r="F134" s="8">
        <v>669</v>
      </c>
      <c r="G134" t="s">
        <v>30</v>
      </c>
      <c r="H134" t="s">
        <v>15</v>
      </c>
      <c r="I134">
        <f>F134/E134</f>
        <v>0.22412060301507539</v>
      </c>
      <c r="J134">
        <f>YEAR(Table1[[#This Row],[Order Date]])</f>
        <v>2023</v>
      </c>
      <c r="K134" t="str">
        <f>TEXT(Table1[[#This Row],[Order Date]], "MMM")</f>
        <v>Feb</v>
      </c>
    </row>
    <row r="135" spans="1:11">
      <c r="A135">
        <v>1842</v>
      </c>
      <c r="B135" s="4" t="s">
        <v>77</v>
      </c>
      <c r="C135" t="s">
        <v>29</v>
      </c>
      <c r="D135" t="s">
        <v>13</v>
      </c>
      <c r="E135" s="8">
        <v>1831</v>
      </c>
      <c r="F135" s="8">
        <v>842</v>
      </c>
      <c r="G135" t="s">
        <v>23</v>
      </c>
      <c r="H135" t="s">
        <v>19</v>
      </c>
      <c r="I135">
        <f>F135/E135</f>
        <v>0.4598580010922993</v>
      </c>
      <c r="J135">
        <f>YEAR(Table1[[#This Row],[Order Date]])</f>
        <v>2023</v>
      </c>
      <c r="K135" t="str">
        <f>TEXT(Table1[[#This Row],[Order Date]], "MMM")</f>
        <v>Feb</v>
      </c>
    </row>
    <row r="136" spans="1:11">
      <c r="A136">
        <v>1029</v>
      </c>
      <c r="B136" s="4" t="s">
        <v>78</v>
      </c>
      <c r="C136" t="s">
        <v>12</v>
      </c>
      <c r="D136" t="s">
        <v>13</v>
      </c>
      <c r="E136" s="8">
        <v>297</v>
      </c>
      <c r="F136" s="8">
        <v>760</v>
      </c>
      <c r="G136" t="s">
        <v>23</v>
      </c>
      <c r="H136" t="s">
        <v>19</v>
      </c>
      <c r="I136">
        <f>F136/E136</f>
        <v>2.5589225589225588</v>
      </c>
      <c r="J136">
        <f>YEAR(Table1[[#This Row],[Order Date]])</f>
        <v>2023</v>
      </c>
      <c r="K136" t="str">
        <f>TEXT(Table1[[#This Row],[Order Date]], "MMM")</f>
        <v>Feb</v>
      </c>
    </row>
    <row r="137" spans="1:11">
      <c r="A137">
        <v>1202</v>
      </c>
      <c r="B137" s="4" t="s">
        <v>78</v>
      </c>
      <c r="C137" t="s">
        <v>28</v>
      </c>
      <c r="D137" t="s">
        <v>22</v>
      </c>
      <c r="E137" s="8">
        <v>2954</v>
      </c>
      <c r="F137" s="8">
        <v>879</v>
      </c>
      <c r="G137" t="s">
        <v>23</v>
      </c>
      <c r="H137" t="s">
        <v>15</v>
      </c>
      <c r="I137">
        <f>F137/E137</f>
        <v>0.2975626269465132</v>
      </c>
      <c r="J137">
        <f>YEAR(Table1[[#This Row],[Order Date]])</f>
        <v>2023</v>
      </c>
      <c r="K137" t="str">
        <f>TEXT(Table1[[#This Row],[Order Date]], "MMM")</f>
        <v>Feb</v>
      </c>
    </row>
    <row r="138" spans="1:11">
      <c r="A138">
        <v>1412</v>
      </c>
      <c r="B138" s="4" t="s">
        <v>78</v>
      </c>
      <c r="C138" t="s">
        <v>27</v>
      </c>
      <c r="D138" t="s">
        <v>22</v>
      </c>
      <c r="E138" s="8">
        <v>2204</v>
      </c>
      <c r="F138" s="8">
        <v>275</v>
      </c>
      <c r="G138" t="s">
        <v>18</v>
      </c>
      <c r="H138" t="s">
        <v>15</v>
      </c>
      <c r="I138">
        <f>F138/E138</f>
        <v>0.12477313974591651</v>
      </c>
      <c r="J138">
        <f>YEAR(Table1[[#This Row],[Order Date]])</f>
        <v>2023</v>
      </c>
      <c r="K138" t="str">
        <f>TEXT(Table1[[#This Row],[Order Date]], "MMM")</f>
        <v>Feb</v>
      </c>
    </row>
    <row r="139" spans="1:11">
      <c r="A139">
        <v>1521</v>
      </c>
      <c r="B139" s="4" t="s">
        <v>78</v>
      </c>
      <c r="C139" t="s">
        <v>12</v>
      </c>
      <c r="D139" t="s">
        <v>22</v>
      </c>
      <c r="E139" s="8">
        <v>591</v>
      </c>
      <c r="F139" s="8">
        <v>750</v>
      </c>
      <c r="G139" t="s">
        <v>14</v>
      </c>
      <c r="H139" t="s">
        <v>19</v>
      </c>
      <c r="I139">
        <f>F139/E139</f>
        <v>1.2690355329949239</v>
      </c>
      <c r="J139">
        <f>YEAR(Table1[[#This Row],[Order Date]])</f>
        <v>2023</v>
      </c>
      <c r="K139" t="str">
        <f>TEXT(Table1[[#This Row],[Order Date]], "MMM")</f>
        <v>Feb</v>
      </c>
    </row>
    <row r="140" spans="1:11">
      <c r="A140">
        <v>1367</v>
      </c>
      <c r="B140" s="4" t="s">
        <v>79</v>
      </c>
      <c r="C140" t="s">
        <v>17</v>
      </c>
      <c r="D140" t="s">
        <v>22</v>
      </c>
      <c r="E140" s="8">
        <v>4557</v>
      </c>
      <c r="F140" s="8">
        <v>458</v>
      </c>
      <c r="G140" t="s">
        <v>14</v>
      </c>
      <c r="H140" t="s">
        <v>15</v>
      </c>
      <c r="I140">
        <f>F140/E140</f>
        <v>0.10050471801623875</v>
      </c>
      <c r="J140">
        <f>YEAR(Table1[[#This Row],[Order Date]])</f>
        <v>2023</v>
      </c>
      <c r="K140" t="str">
        <f>TEXT(Table1[[#This Row],[Order Date]], "MMM")</f>
        <v>Feb</v>
      </c>
    </row>
    <row r="141" spans="1:11">
      <c r="A141">
        <v>1606</v>
      </c>
      <c r="B141" s="4" t="s">
        <v>79</v>
      </c>
      <c r="C141" t="s">
        <v>29</v>
      </c>
      <c r="D141" t="s">
        <v>22</v>
      </c>
      <c r="E141" s="8">
        <v>3502</v>
      </c>
      <c r="F141" s="8">
        <v>915</v>
      </c>
      <c r="G141" t="s">
        <v>18</v>
      </c>
      <c r="H141" t="s">
        <v>19</v>
      </c>
      <c r="I141">
        <f>F141/E141</f>
        <v>0.26127926898914905</v>
      </c>
      <c r="J141">
        <f>YEAR(Table1[[#This Row],[Order Date]])</f>
        <v>2023</v>
      </c>
      <c r="K141" t="str">
        <f>TEXT(Table1[[#This Row],[Order Date]], "MMM")</f>
        <v>Feb</v>
      </c>
    </row>
    <row r="142" spans="1:11">
      <c r="A142">
        <v>1903</v>
      </c>
      <c r="B142" s="4" t="s">
        <v>79</v>
      </c>
      <c r="C142" t="s">
        <v>28</v>
      </c>
      <c r="D142" t="s">
        <v>25</v>
      </c>
      <c r="E142" s="8">
        <v>3843</v>
      </c>
      <c r="F142" s="8">
        <v>774</v>
      </c>
      <c r="G142" t="s">
        <v>18</v>
      </c>
      <c r="H142" t="s">
        <v>15</v>
      </c>
      <c r="I142">
        <f>F142/E142</f>
        <v>0.20140515222482436</v>
      </c>
      <c r="J142">
        <f>YEAR(Table1[[#This Row],[Order Date]])</f>
        <v>2023</v>
      </c>
      <c r="K142" t="str">
        <f>TEXT(Table1[[#This Row],[Order Date]], "MMM")</f>
        <v>Feb</v>
      </c>
    </row>
    <row r="143" spans="1:11">
      <c r="A143">
        <v>2000</v>
      </c>
      <c r="B143" s="4" t="s">
        <v>79</v>
      </c>
      <c r="C143" t="s">
        <v>29</v>
      </c>
      <c r="D143" t="s">
        <v>13</v>
      </c>
      <c r="E143" s="8">
        <v>1471</v>
      </c>
      <c r="F143" s="8">
        <v>873</v>
      </c>
      <c r="G143" t="s">
        <v>23</v>
      </c>
      <c r="H143" t="s">
        <v>19</v>
      </c>
      <c r="I143">
        <f>F143/E143</f>
        <v>0.59347382732834808</v>
      </c>
      <c r="J143">
        <f>YEAR(Table1[[#This Row],[Order Date]])</f>
        <v>2023</v>
      </c>
      <c r="K143" t="str">
        <f>TEXT(Table1[[#This Row],[Order Date]], "MMM")</f>
        <v>Feb</v>
      </c>
    </row>
    <row r="144" spans="1:11">
      <c r="A144">
        <v>1433</v>
      </c>
      <c r="B144" s="4" t="s">
        <v>80</v>
      </c>
      <c r="C144" t="s">
        <v>24</v>
      </c>
      <c r="D144" t="s">
        <v>22</v>
      </c>
      <c r="E144" s="8">
        <v>1144</v>
      </c>
      <c r="F144" s="8">
        <v>894</v>
      </c>
      <c r="G144" t="s">
        <v>18</v>
      </c>
      <c r="H144" t="s">
        <v>19</v>
      </c>
      <c r="I144">
        <f>F144/E144</f>
        <v>0.78146853146853146</v>
      </c>
      <c r="J144">
        <f>YEAR(Table1[[#This Row],[Order Date]])</f>
        <v>2023</v>
      </c>
      <c r="K144" t="str">
        <f>TEXT(Table1[[#This Row],[Order Date]], "MMM")</f>
        <v>Feb</v>
      </c>
    </row>
    <row r="145" spans="1:11">
      <c r="A145">
        <v>1171</v>
      </c>
      <c r="B145" s="4" t="s">
        <v>81</v>
      </c>
      <c r="C145" t="s">
        <v>12</v>
      </c>
      <c r="D145" t="s">
        <v>25</v>
      </c>
      <c r="E145" s="8">
        <v>1816</v>
      </c>
      <c r="F145" s="8">
        <v>366</v>
      </c>
      <c r="G145" t="s">
        <v>14</v>
      </c>
      <c r="H145" t="s">
        <v>19</v>
      </c>
      <c r="I145">
        <f>F145/E145</f>
        <v>0.20154185022026433</v>
      </c>
      <c r="J145">
        <f>YEAR(Table1[[#This Row],[Order Date]])</f>
        <v>2023</v>
      </c>
      <c r="K145" t="str">
        <f>TEXT(Table1[[#This Row],[Order Date]], "MMM")</f>
        <v>Feb</v>
      </c>
    </row>
    <row r="146" spans="1:11">
      <c r="A146">
        <v>1207</v>
      </c>
      <c r="B146" s="4" t="s">
        <v>81</v>
      </c>
      <c r="C146" t="s">
        <v>12</v>
      </c>
      <c r="D146" t="s">
        <v>22</v>
      </c>
      <c r="E146" s="8">
        <v>1881</v>
      </c>
      <c r="F146" s="8">
        <v>588</v>
      </c>
      <c r="G146" t="s">
        <v>18</v>
      </c>
      <c r="H146" t="s">
        <v>15</v>
      </c>
      <c r="I146">
        <f>F146/E146</f>
        <v>0.31259968102073366</v>
      </c>
      <c r="J146">
        <f>YEAR(Table1[[#This Row],[Order Date]])</f>
        <v>2023</v>
      </c>
      <c r="K146" t="str">
        <f>TEXT(Table1[[#This Row],[Order Date]], "MMM")</f>
        <v>Feb</v>
      </c>
    </row>
    <row r="147" spans="1:11">
      <c r="A147">
        <v>1446</v>
      </c>
      <c r="B147" s="4" t="s">
        <v>81</v>
      </c>
      <c r="C147" t="s">
        <v>24</v>
      </c>
      <c r="D147" t="s">
        <v>13</v>
      </c>
      <c r="E147" s="8">
        <v>1917</v>
      </c>
      <c r="F147" s="8">
        <v>670</v>
      </c>
      <c r="G147" t="s">
        <v>30</v>
      </c>
      <c r="H147" t="s">
        <v>19</v>
      </c>
      <c r="I147">
        <f>F147/E147</f>
        <v>0.34950443401147624</v>
      </c>
      <c r="J147">
        <f>YEAR(Table1[[#This Row],[Order Date]])</f>
        <v>2023</v>
      </c>
      <c r="K147" t="str">
        <f>TEXT(Table1[[#This Row],[Order Date]], "MMM")</f>
        <v>Feb</v>
      </c>
    </row>
    <row r="148" spans="1:11">
      <c r="A148">
        <v>1528</v>
      </c>
      <c r="B148" s="4" t="s">
        <v>81</v>
      </c>
      <c r="C148" t="s">
        <v>12</v>
      </c>
      <c r="D148" t="s">
        <v>25</v>
      </c>
      <c r="E148" s="8">
        <v>3767</v>
      </c>
      <c r="F148" s="8">
        <v>64</v>
      </c>
      <c r="G148" t="s">
        <v>18</v>
      </c>
      <c r="H148" t="s">
        <v>15</v>
      </c>
      <c r="I148">
        <f>F148/E148</f>
        <v>1.6989646933899656E-2</v>
      </c>
      <c r="J148">
        <f>YEAR(Table1[[#This Row],[Order Date]])</f>
        <v>2023</v>
      </c>
      <c r="K148" t="str">
        <f>TEXT(Table1[[#This Row],[Order Date]], "MMM")</f>
        <v>Feb</v>
      </c>
    </row>
    <row r="149" spans="1:11">
      <c r="A149">
        <v>1755</v>
      </c>
      <c r="B149" s="4" t="s">
        <v>81</v>
      </c>
      <c r="C149" t="s">
        <v>27</v>
      </c>
      <c r="D149" t="s">
        <v>13</v>
      </c>
      <c r="E149" s="8">
        <v>3368</v>
      </c>
      <c r="F149" s="8">
        <v>461</v>
      </c>
      <c r="G149" t="s">
        <v>14</v>
      </c>
      <c r="H149" t="s">
        <v>19</v>
      </c>
      <c r="I149">
        <f>F149/E149</f>
        <v>0.13687648456057008</v>
      </c>
      <c r="J149">
        <f>YEAR(Table1[[#This Row],[Order Date]])</f>
        <v>2023</v>
      </c>
      <c r="K149" t="str">
        <f>TEXT(Table1[[#This Row],[Order Date]], "MMM")</f>
        <v>Feb</v>
      </c>
    </row>
    <row r="150" spans="1:11">
      <c r="A150">
        <v>1111</v>
      </c>
      <c r="B150" s="4" t="s">
        <v>82</v>
      </c>
      <c r="C150" t="s">
        <v>27</v>
      </c>
      <c r="D150" t="s">
        <v>13</v>
      </c>
      <c r="E150" s="8">
        <v>3798</v>
      </c>
      <c r="F150" s="8">
        <v>849</v>
      </c>
      <c r="G150" t="s">
        <v>18</v>
      </c>
      <c r="H150" t="s">
        <v>19</v>
      </c>
      <c r="I150">
        <f>F150/E150</f>
        <v>0.2235387045813586</v>
      </c>
      <c r="J150">
        <f>YEAR(Table1[[#This Row],[Order Date]])</f>
        <v>2023</v>
      </c>
      <c r="K150" t="str">
        <f>TEXT(Table1[[#This Row],[Order Date]], "MMM")</f>
        <v>Feb</v>
      </c>
    </row>
    <row r="151" spans="1:11">
      <c r="A151">
        <v>1216</v>
      </c>
      <c r="B151" s="4" t="s">
        <v>82</v>
      </c>
      <c r="C151" t="s">
        <v>27</v>
      </c>
      <c r="D151" t="s">
        <v>25</v>
      </c>
      <c r="E151" s="8">
        <v>4739</v>
      </c>
      <c r="F151" s="8">
        <v>677</v>
      </c>
      <c r="G151" t="s">
        <v>14</v>
      </c>
      <c r="H151" t="s">
        <v>19</v>
      </c>
      <c r="I151">
        <f>F151/E151</f>
        <v>0.14285714285714285</v>
      </c>
      <c r="J151">
        <f>YEAR(Table1[[#This Row],[Order Date]])</f>
        <v>2023</v>
      </c>
      <c r="K151" t="str">
        <f>TEXT(Table1[[#This Row],[Order Date]], "MMM")</f>
        <v>Feb</v>
      </c>
    </row>
    <row r="152" spans="1:11">
      <c r="A152">
        <v>1723</v>
      </c>
      <c r="B152" s="4" t="s">
        <v>82</v>
      </c>
      <c r="C152" t="s">
        <v>28</v>
      </c>
      <c r="D152" t="s">
        <v>22</v>
      </c>
      <c r="E152" s="8">
        <v>614</v>
      </c>
      <c r="F152" s="8">
        <v>215</v>
      </c>
      <c r="G152" t="s">
        <v>18</v>
      </c>
      <c r="H152" t="s">
        <v>15</v>
      </c>
      <c r="I152">
        <f>F152/E152</f>
        <v>0.35016286644951139</v>
      </c>
      <c r="J152">
        <f>YEAR(Table1[[#This Row],[Order Date]])</f>
        <v>2023</v>
      </c>
      <c r="K152" t="str">
        <f>TEXT(Table1[[#This Row],[Order Date]], "MMM")</f>
        <v>Feb</v>
      </c>
    </row>
    <row r="153" spans="1:11">
      <c r="A153">
        <v>1140</v>
      </c>
      <c r="B153" s="4" t="s">
        <v>83</v>
      </c>
      <c r="C153" t="s">
        <v>17</v>
      </c>
      <c r="D153" t="s">
        <v>25</v>
      </c>
      <c r="E153" s="8">
        <v>3025</v>
      </c>
      <c r="F153" s="8">
        <v>346</v>
      </c>
      <c r="G153" t="s">
        <v>30</v>
      </c>
      <c r="H153" t="s">
        <v>15</v>
      </c>
      <c r="I153">
        <f>F153/E153</f>
        <v>0.11438016528925619</v>
      </c>
      <c r="J153">
        <f>YEAR(Table1[[#This Row],[Order Date]])</f>
        <v>2023</v>
      </c>
      <c r="K153" t="str">
        <f>TEXT(Table1[[#This Row],[Order Date]], "MMM")</f>
        <v>Mar</v>
      </c>
    </row>
    <row r="154" spans="1:11">
      <c r="A154">
        <v>1989</v>
      </c>
      <c r="B154" s="4" t="s">
        <v>83</v>
      </c>
      <c r="C154" t="s">
        <v>17</v>
      </c>
      <c r="D154" t="s">
        <v>13</v>
      </c>
      <c r="E154" s="8">
        <v>3058</v>
      </c>
      <c r="F154" s="8">
        <v>385</v>
      </c>
      <c r="G154" t="s">
        <v>30</v>
      </c>
      <c r="H154" t="s">
        <v>15</v>
      </c>
      <c r="I154">
        <f>F154/E154</f>
        <v>0.12589928057553956</v>
      </c>
      <c r="J154">
        <f>YEAR(Table1[[#This Row],[Order Date]])</f>
        <v>2023</v>
      </c>
      <c r="K154" t="str">
        <f>TEXT(Table1[[#This Row],[Order Date]], "MMM")</f>
        <v>Mar</v>
      </c>
    </row>
    <row r="155" spans="1:11">
      <c r="A155">
        <v>1278</v>
      </c>
      <c r="B155" s="4" t="s">
        <v>84</v>
      </c>
      <c r="C155" t="s">
        <v>24</v>
      </c>
      <c r="D155" t="s">
        <v>13</v>
      </c>
      <c r="E155" s="8">
        <v>4445</v>
      </c>
      <c r="F155" s="8">
        <v>584</v>
      </c>
      <c r="G155" t="s">
        <v>30</v>
      </c>
      <c r="H155" t="s">
        <v>15</v>
      </c>
      <c r="I155">
        <f>F155/E155</f>
        <v>0.13138357705286838</v>
      </c>
      <c r="J155">
        <f>YEAR(Table1[[#This Row],[Order Date]])</f>
        <v>2023</v>
      </c>
      <c r="K155" t="str">
        <f>TEXT(Table1[[#This Row],[Order Date]], "MMM")</f>
        <v>Mar</v>
      </c>
    </row>
    <row r="156" spans="1:11">
      <c r="A156">
        <v>1297</v>
      </c>
      <c r="B156" s="4" t="s">
        <v>85</v>
      </c>
      <c r="C156" t="s">
        <v>29</v>
      </c>
      <c r="D156" t="s">
        <v>22</v>
      </c>
      <c r="E156" s="8">
        <v>1738</v>
      </c>
      <c r="F156" s="8">
        <v>459</v>
      </c>
      <c r="G156" t="s">
        <v>30</v>
      </c>
      <c r="H156" t="s">
        <v>15</v>
      </c>
      <c r="I156">
        <f>F156/E156</f>
        <v>0.26409666283084005</v>
      </c>
      <c r="J156">
        <f>YEAR(Table1[[#This Row],[Order Date]])</f>
        <v>2023</v>
      </c>
      <c r="K156" t="str">
        <f>TEXT(Table1[[#This Row],[Order Date]], "MMM")</f>
        <v>Mar</v>
      </c>
    </row>
    <row r="157" spans="1:11">
      <c r="A157">
        <v>1784</v>
      </c>
      <c r="B157" s="4" t="s">
        <v>85</v>
      </c>
      <c r="C157" t="s">
        <v>21</v>
      </c>
      <c r="D157" t="s">
        <v>13</v>
      </c>
      <c r="E157" s="8">
        <v>4308</v>
      </c>
      <c r="F157" s="8">
        <v>391</v>
      </c>
      <c r="G157" t="s">
        <v>14</v>
      </c>
      <c r="H157" t="s">
        <v>15</v>
      </c>
      <c r="I157">
        <f>F157/E157</f>
        <v>9.076137418755803E-2</v>
      </c>
      <c r="J157">
        <f>YEAR(Table1[[#This Row],[Order Date]])</f>
        <v>2023</v>
      </c>
      <c r="K157" t="str">
        <f>TEXT(Table1[[#This Row],[Order Date]], "MMM")</f>
        <v>Mar</v>
      </c>
    </row>
    <row r="158" spans="1:11">
      <c r="A158">
        <v>1891</v>
      </c>
      <c r="B158" s="4" t="s">
        <v>85</v>
      </c>
      <c r="C158" t="s">
        <v>29</v>
      </c>
      <c r="D158" t="s">
        <v>25</v>
      </c>
      <c r="E158" s="8">
        <v>4679</v>
      </c>
      <c r="F158" s="8">
        <v>328</v>
      </c>
      <c r="G158" t="s">
        <v>30</v>
      </c>
      <c r="H158" t="s">
        <v>15</v>
      </c>
      <c r="I158">
        <f>F158/E158</f>
        <v>7.0100448813849109E-2</v>
      </c>
      <c r="J158">
        <f>YEAR(Table1[[#This Row],[Order Date]])</f>
        <v>2023</v>
      </c>
      <c r="K158" t="str">
        <f>TEXT(Table1[[#This Row],[Order Date]], "MMM")</f>
        <v>Mar</v>
      </c>
    </row>
    <row r="159" spans="1:11">
      <c r="A159">
        <v>1508</v>
      </c>
      <c r="B159" s="4" t="s">
        <v>86</v>
      </c>
      <c r="C159" t="s">
        <v>28</v>
      </c>
      <c r="D159" t="s">
        <v>25</v>
      </c>
      <c r="E159" s="8">
        <v>4251</v>
      </c>
      <c r="F159" s="8">
        <v>245</v>
      </c>
      <c r="G159" t="s">
        <v>23</v>
      </c>
      <c r="H159" t="s">
        <v>15</v>
      </c>
      <c r="I159">
        <f>F159/E159</f>
        <v>5.7633498000470476E-2</v>
      </c>
      <c r="J159">
        <f>YEAR(Table1[[#This Row],[Order Date]])</f>
        <v>2023</v>
      </c>
      <c r="K159" t="str">
        <f>TEXT(Table1[[#This Row],[Order Date]], "MMM")</f>
        <v>Mar</v>
      </c>
    </row>
    <row r="160" spans="1:11">
      <c r="A160">
        <v>1851</v>
      </c>
      <c r="B160" s="4" t="s">
        <v>86</v>
      </c>
      <c r="C160" t="s">
        <v>28</v>
      </c>
      <c r="D160" t="s">
        <v>22</v>
      </c>
      <c r="E160" s="8">
        <v>1001</v>
      </c>
      <c r="F160" s="8">
        <v>543</v>
      </c>
      <c r="G160" t="s">
        <v>30</v>
      </c>
      <c r="H160" t="s">
        <v>19</v>
      </c>
      <c r="I160">
        <f>F160/E160</f>
        <v>0.54245754245754241</v>
      </c>
      <c r="J160">
        <f>YEAR(Table1[[#This Row],[Order Date]])</f>
        <v>2023</v>
      </c>
      <c r="K160" t="str">
        <f>TEXT(Table1[[#This Row],[Order Date]], "MMM")</f>
        <v>Mar</v>
      </c>
    </row>
    <row r="161" spans="1:11">
      <c r="A161">
        <v>1355</v>
      </c>
      <c r="B161" s="4" t="s">
        <v>87</v>
      </c>
      <c r="C161" t="s">
        <v>24</v>
      </c>
      <c r="D161" t="s">
        <v>13</v>
      </c>
      <c r="E161" s="8">
        <v>3100</v>
      </c>
      <c r="F161" s="8">
        <v>407</v>
      </c>
      <c r="G161" t="s">
        <v>14</v>
      </c>
      <c r="H161" t="s">
        <v>15</v>
      </c>
      <c r="I161">
        <f>F161/E161</f>
        <v>0.13129032258064516</v>
      </c>
      <c r="J161">
        <f>YEAR(Table1[[#This Row],[Order Date]])</f>
        <v>2023</v>
      </c>
      <c r="K161" t="str">
        <f>TEXT(Table1[[#This Row],[Order Date]], "MMM")</f>
        <v>Mar</v>
      </c>
    </row>
    <row r="162" spans="1:11">
      <c r="A162">
        <v>1427</v>
      </c>
      <c r="B162" s="4" t="s">
        <v>87</v>
      </c>
      <c r="C162" t="s">
        <v>29</v>
      </c>
      <c r="D162" t="s">
        <v>13</v>
      </c>
      <c r="E162" s="8">
        <v>998</v>
      </c>
      <c r="F162" s="8">
        <v>722</v>
      </c>
      <c r="G162" t="s">
        <v>23</v>
      </c>
      <c r="H162" t="s">
        <v>15</v>
      </c>
      <c r="I162">
        <f>F162/E162</f>
        <v>0.7234468937875751</v>
      </c>
      <c r="J162">
        <f>YEAR(Table1[[#This Row],[Order Date]])</f>
        <v>2023</v>
      </c>
      <c r="K162" t="str">
        <f>TEXT(Table1[[#This Row],[Order Date]], "MMM")</f>
        <v>Mar</v>
      </c>
    </row>
    <row r="163" spans="1:11">
      <c r="A163">
        <v>1546</v>
      </c>
      <c r="B163" s="4" t="s">
        <v>87</v>
      </c>
      <c r="C163" t="s">
        <v>17</v>
      </c>
      <c r="D163" t="s">
        <v>25</v>
      </c>
      <c r="E163" s="8">
        <v>1743</v>
      </c>
      <c r="F163" s="8">
        <v>957</v>
      </c>
      <c r="G163" t="s">
        <v>14</v>
      </c>
      <c r="H163" t="s">
        <v>19</v>
      </c>
      <c r="I163">
        <f>F163/E163</f>
        <v>0.54905335628227192</v>
      </c>
      <c r="J163">
        <f>YEAR(Table1[[#This Row],[Order Date]])</f>
        <v>2023</v>
      </c>
      <c r="K163" t="str">
        <f>TEXT(Table1[[#This Row],[Order Date]], "MMM")</f>
        <v>Mar</v>
      </c>
    </row>
    <row r="164" spans="1:11">
      <c r="A164">
        <v>1431</v>
      </c>
      <c r="B164" s="4" t="s">
        <v>88</v>
      </c>
      <c r="C164" t="s">
        <v>29</v>
      </c>
      <c r="D164" t="s">
        <v>13</v>
      </c>
      <c r="E164" s="8">
        <v>777</v>
      </c>
      <c r="F164" s="8">
        <v>299</v>
      </c>
      <c r="G164" t="s">
        <v>14</v>
      </c>
      <c r="H164" t="s">
        <v>19</v>
      </c>
      <c r="I164">
        <f>F164/E164</f>
        <v>0.38481338481338484</v>
      </c>
      <c r="J164">
        <f>YEAR(Table1[[#This Row],[Order Date]])</f>
        <v>2023</v>
      </c>
      <c r="K164" t="str">
        <f>TEXT(Table1[[#This Row],[Order Date]], "MMM")</f>
        <v>Mar</v>
      </c>
    </row>
    <row r="165" spans="1:11">
      <c r="A165">
        <v>1502</v>
      </c>
      <c r="B165" s="4" t="s">
        <v>88</v>
      </c>
      <c r="C165" t="s">
        <v>12</v>
      </c>
      <c r="D165" t="s">
        <v>25</v>
      </c>
      <c r="E165" s="8">
        <v>2238</v>
      </c>
      <c r="F165" s="8">
        <v>332</v>
      </c>
      <c r="G165" t="s">
        <v>14</v>
      </c>
      <c r="H165" t="s">
        <v>15</v>
      </c>
      <c r="I165">
        <f>F165/E165</f>
        <v>0.1483467381590706</v>
      </c>
      <c r="J165">
        <f>YEAR(Table1[[#This Row],[Order Date]])</f>
        <v>2023</v>
      </c>
      <c r="K165" t="str">
        <f>TEXT(Table1[[#This Row],[Order Date]], "MMM")</f>
        <v>Mar</v>
      </c>
    </row>
    <row r="166" spans="1:11">
      <c r="A166">
        <v>1522</v>
      </c>
      <c r="B166" s="4" t="s">
        <v>88</v>
      </c>
      <c r="C166" t="s">
        <v>29</v>
      </c>
      <c r="D166" t="s">
        <v>25</v>
      </c>
      <c r="E166" s="8">
        <v>3751</v>
      </c>
      <c r="F166" s="8">
        <v>393</v>
      </c>
      <c r="G166" t="s">
        <v>30</v>
      </c>
      <c r="H166" t="s">
        <v>15</v>
      </c>
      <c r="I166">
        <f>F166/E166</f>
        <v>0.10477206078379099</v>
      </c>
      <c r="J166">
        <f>YEAR(Table1[[#This Row],[Order Date]])</f>
        <v>2023</v>
      </c>
      <c r="K166" t="str">
        <f>TEXT(Table1[[#This Row],[Order Date]], "MMM")</f>
        <v>Mar</v>
      </c>
    </row>
    <row r="167" spans="1:11">
      <c r="A167">
        <v>1590</v>
      </c>
      <c r="B167" s="4" t="s">
        <v>88</v>
      </c>
      <c r="C167" t="s">
        <v>24</v>
      </c>
      <c r="D167" t="s">
        <v>25</v>
      </c>
      <c r="E167" s="8">
        <v>298</v>
      </c>
      <c r="F167" s="8">
        <v>54</v>
      </c>
      <c r="G167" t="s">
        <v>23</v>
      </c>
      <c r="H167" t="s">
        <v>15</v>
      </c>
      <c r="I167">
        <f>F167/E167</f>
        <v>0.18120805369127516</v>
      </c>
      <c r="J167">
        <f>YEAR(Table1[[#This Row],[Order Date]])</f>
        <v>2023</v>
      </c>
      <c r="K167" t="str">
        <f>TEXT(Table1[[#This Row],[Order Date]], "MMM")</f>
        <v>Mar</v>
      </c>
    </row>
    <row r="168" spans="1:11">
      <c r="A168">
        <v>1598</v>
      </c>
      <c r="B168" s="4" t="s">
        <v>88</v>
      </c>
      <c r="C168" t="s">
        <v>29</v>
      </c>
      <c r="D168" t="s">
        <v>13</v>
      </c>
      <c r="E168" s="8">
        <v>4163</v>
      </c>
      <c r="F168" s="8">
        <v>911</v>
      </c>
      <c r="G168" t="s">
        <v>14</v>
      </c>
      <c r="H168" t="s">
        <v>15</v>
      </c>
      <c r="I168">
        <f>F168/E168</f>
        <v>0.21883257266394426</v>
      </c>
      <c r="J168">
        <f>YEAR(Table1[[#This Row],[Order Date]])</f>
        <v>2023</v>
      </c>
      <c r="K168" t="str">
        <f>TEXT(Table1[[#This Row],[Order Date]], "MMM")</f>
        <v>Mar</v>
      </c>
    </row>
    <row r="169" spans="1:11">
      <c r="A169">
        <v>1672</v>
      </c>
      <c r="B169" s="4" t="s">
        <v>88</v>
      </c>
      <c r="C169" t="s">
        <v>29</v>
      </c>
      <c r="D169" t="s">
        <v>25</v>
      </c>
      <c r="E169" s="8">
        <v>3230</v>
      </c>
      <c r="F169" s="8">
        <v>794</v>
      </c>
      <c r="G169" t="s">
        <v>18</v>
      </c>
      <c r="H169" t="s">
        <v>15</v>
      </c>
      <c r="I169">
        <f>F169/E169</f>
        <v>0.24582043343653251</v>
      </c>
      <c r="J169">
        <f>YEAR(Table1[[#This Row],[Order Date]])</f>
        <v>2023</v>
      </c>
      <c r="K169" t="str">
        <f>TEXT(Table1[[#This Row],[Order Date]], "MMM")</f>
        <v>Mar</v>
      </c>
    </row>
    <row r="170" spans="1:11">
      <c r="A170">
        <v>1780</v>
      </c>
      <c r="B170" s="4" t="s">
        <v>88</v>
      </c>
      <c r="C170" t="s">
        <v>24</v>
      </c>
      <c r="D170" t="s">
        <v>25</v>
      </c>
      <c r="E170" s="8">
        <v>1023</v>
      </c>
      <c r="F170" s="8">
        <v>498</v>
      </c>
      <c r="G170" t="s">
        <v>30</v>
      </c>
      <c r="H170" t="s">
        <v>19</v>
      </c>
      <c r="I170">
        <f>F170/E170</f>
        <v>0.48680351906158359</v>
      </c>
      <c r="J170">
        <f>YEAR(Table1[[#This Row],[Order Date]])</f>
        <v>2023</v>
      </c>
      <c r="K170" t="str">
        <f>TEXT(Table1[[#This Row],[Order Date]], "MMM")</f>
        <v>Mar</v>
      </c>
    </row>
    <row r="171" spans="1:11">
      <c r="A171">
        <v>1170</v>
      </c>
      <c r="B171" s="4" t="s">
        <v>89</v>
      </c>
      <c r="C171" t="s">
        <v>28</v>
      </c>
      <c r="D171" t="s">
        <v>13</v>
      </c>
      <c r="E171" s="8">
        <v>4851</v>
      </c>
      <c r="F171" s="8">
        <v>968</v>
      </c>
      <c r="G171" t="s">
        <v>30</v>
      </c>
      <c r="H171" t="s">
        <v>15</v>
      </c>
      <c r="I171">
        <f>F171/E171</f>
        <v>0.19954648526077098</v>
      </c>
      <c r="J171">
        <f>YEAR(Table1[[#This Row],[Order Date]])</f>
        <v>2023</v>
      </c>
      <c r="K171" t="str">
        <f>TEXT(Table1[[#This Row],[Order Date]], "MMM")</f>
        <v>Mar</v>
      </c>
    </row>
    <row r="172" spans="1:11">
      <c r="A172">
        <v>1191</v>
      </c>
      <c r="B172" s="4" t="s">
        <v>89</v>
      </c>
      <c r="C172" t="s">
        <v>21</v>
      </c>
      <c r="D172" t="s">
        <v>22</v>
      </c>
      <c r="E172" s="8">
        <v>530</v>
      </c>
      <c r="F172" s="8">
        <v>434</v>
      </c>
      <c r="G172" t="s">
        <v>14</v>
      </c>
      <c r="H172" t="s">
        <v>19</v>
      </c>
      <c r="I172">
        <f>F172/E172</f>
        <v>0.81886792452830193</v>
      </c>
      <c r="J172">
        <f>YEAR(Table1[[#This Row],[Order Date]])</f>
        <v>2023</v>
      </c>
      <c r="K172" t="str">
        <f>TEXT(Table1[[#This Row],[Order Date]], "MMM")</f>
        <v>Mar</v>
      </c>
    </row>
    <row r="173" spans="1:11">
      <c r="A173">
        <v>1706</v>
      </c>
      <c r="B173" s="4" t="s">
        <v>90</v>
      </c>
      <c r="C173" t="s">
        <v>21</v>
      </c>
      <c r="D173" t="s">
        <v>25</v>
      </c>
      <c r="E173" s="8">
        <v>3413</v>
      </c>
      <c r="F173" s="8">
        <v>200</v>
      </c>
      <c r="G173" t="s">
        <v>23</v>
      </c>
      <c r="H173" t="s">
        <v>19</v>
      </c>
      <c r="I173">
        <f>F173/E173</f>
        <v>5.8599472604746558E-2</v>
      </c>
      <c r="J173">
        <f>YEAR(Table1[[#This Row],[Order Date]])</f>
        <v>2023</v>
      </c>
      <c r="K173" t="str">
        <f>TEXT(Table1[[#This Row],[Order Date]], "MMM")</f>
        <v>Mar</v>
      </c>
    </row>
    <row r="174" spans="1:11">
      <c r="A174">
        <v>1261</v>
      </c>
      <c r="B174" s="4" t="s">
        <v>91</v>
      </c>
      <c r="C174" t="s">
        <v>24</v>
      </c>
      <c r="D174" t="s">
        <v>22</v>
      </c>
      <c r="E174" s="8">
        <v>4220</v>
      </c>
      <c r="F174" s="8">
        <v>928</v>
      </c>
      <c r="G174" t="s">
        <v>18</v>
      </c>
      <c r="H174" t="s">
        <v>19</v>
      </c>
      <c r="I174">
        <f>F174/E174</f>
        <v>0.21990521327014217</v>
      </c>
      <c r="J174">
        <f>YEAR(Table1[[#This Row],[Order Date]])</f>
        <v>2023</v>
      </c>
      <c r="K174" t="str">
        <f>TEXT(Table1[[#This Row],[Order Date]], "MMM")</f>
        <v>Mar</v>
      </c>
    </row>
    <row r="175" spans="1:11">
      <c r="A175">
        <v>1489</v>
      </c>
      <c r="B175" s="4" t="s">
        <v>91</v>
      </c>
      <c r="C175" t="s">
        <v>27</v>
      </c>
      <c r="D175" t="s">
        <v>13</v>
      </c>
      <c r="E175" s="8">
        <v>4611</v>
      </c>
      <c r="F175" s="8">
        <v>536</v>
      </c>
      <c r="G175" t="s">
        <v>30</v>
      </c>
      <c r="H175" t="s">
        <v>15</v>
      </c>
      <c r="I175">
        <f>F175/E175</f>
        <v>0.11624376490999783</v>
      </c>
      <c r="J175">
        <f>YEAR(Table1[[#This Row],[Order Date]])</f>
        <v>2023</v>
      </c>
      <c r="K175" t="str">
        <f>TEXT(Table1[[#This Row],[Order Date]], "MMM")</f>
        <v>Mar</v>
      </c>
    </row>
    <row r="176" spans="1:11">
      <c r="A176">
        <v>1855</v>
      </c>
      <c r="B176" s="4" t="s">
        <v>91</v>
      </c>
      <c r="C176" t="s">
        <v>29</v>
      </c>
      <c r="D176" t="s">
        <v>22</v>
      </c>
      <c r="E176" s="8">
        <v>882</v>
      </c>
      <c r="F176" s="8">
        <v>712</v>
      </c>
      <c r="G176" t="s">
        <v>23</v>
      </c>
      <c r="H176" t="s">
        <v>19</v>
      </c>
      <c r="I176">
        <f>F176/E176</f>
        <v>0.80725623582766437</v>
      </c>
      <c r="J176">
        <f>YEAR(Table1[[#This Row],[Order Date]])</f>
        <v>2023</v>
      </c>
      <c r="K176" t="str">
        <f>TEXT(Table1[[#This Row],[Order Date]], "MMM")</f>
        <v>Mar</v>
      </c>
    </row>
    <row r="177" spans="1:11">
      <c r="A177">
        <v>1667</v>
      </c>
      <c r="B177" s="4" t="s">
        <v>92</v>
      </c>
      <c r="C177" t="s">
        <v>21</v>
      </c>
      <c r="D177" t="s">
        <v>22</v>
      </c>
      <c r="E177" s="8">
        <v>2754</v>
      </c>
      <c r="F177" s="8">
        <v>73</v>
      </c>
      <c r="G177" t="s">
        <v>23</v>
      </c>
      <c r="H177" t="s">
        <v>19</v>
      </c>
      <c r="I177">
        <f>F177/E177</f>
        <v>2.6506899055918662E-2</v>
      </c>
      <c r="J177">
        <f>YEAR(Table1[[#This Row],[Order Date]])</f>
        <v>2023</v>
      </c>
      <c r="K177" t="str">
        <f>TEXT(Table1[[#This Row],[Order Date]], "MMM")</f>
        <v>Mar</v>
      </c>
    </row>
    <row r="178" spans="1:11">
      <c r="A178">
        <v>1692</v>
      </c>
      <c r="B178" s="4" t="s">
        <v>92</v>
      </c>
      <c r="C178" t="s">
        <v>24</v>
      </c>
      <c r="D178" t="s">
        <v>25</v>
      </c>
      <c r="E178" s="8">
        <v>1120</v>
      </c>
      <c r="F178" s="8">
        <v>725</v>
      </c>
      <c r="G178" t="s">
        <v>23</v>
      </c>
      <c r="H178" t="s">
        <v>19</v>
      </c>
      <c r="I178">
        <f>F178/E178</f>
        <v>0.6473214285714286</v>
      </c>
      <c r="J178">
        <f>YEAR(Table1[[#This Row],[Order Date]])</f>
        <v>2023</v>
      </c>
      <c r="K178" t="str">
        <f>TEXT(Table1[[#This Row],[Order Date]], "MMM")</f>
        <v>Mar</v>
      </c>
    </row>
    <row r="179" spans="1:11">
      <c r="A179">
        <v>1991</v>
      </c>
      <c r="B179" s="4" t="s">
        <v>92</v>
      </c>
      <c r="C179" t="s">
        <v>29</v>
      </c>
      <c r="D179" t="s">
        <v>13</v>
      </c>
      <c r="E179" s="8">
        <v>1377</v>
      </c>
      <c r="F179" s="8">
        <v>175</v>
      </c>
      <c r="G179" t="s">
        <v>14</v>
      </c>
      <c r="H179" t="s">
        <v>19</v>
      </c>
      <c r="I179">
        <f>F179/E179</f>
        <v>0.12708787218591139</v>
      </c>
      <c r="J179">
        <f>YEAR(Table1[[#This Row],[Order Date]])</f>
        <v>2023</v>
      </c>
      <c r="K179" t="str">
        <f>TEXT(Table1[[#This Row],[Order Date]], "MMM")</f>
        <v>Mar</v>
      </c>
    </row>
    <row r="180" spans="1:11">
      <c r="A180">
        <v>1035</v>
      </c>
      <c r="B180" s="4" t="s">
        <v>93</v>
      </c>
      <c r="C180" t="s">
        <v>28</v>
      </c>
      <c r="D180" t="s">
        <v>13</v>
      </c>
      <c r="E180" s="8">
        <v>4143</v>
      </c>
      <c r="F180" s="8">
        <v>844</v>
      </c>
      <c r="G180" t="s">
        <v>23</v>
      </c>
      <c r="H180" t="s">
        <v>19</v>
      </c>
      <c r="I180">
        <f>F180/E180</f>
        <v>0.20371711320299299</v>
      </c>
      <c r="J180">
        <f>YEAR(Table1[[#This Row],[Order Date]])</f>
        <v>2023</v>
      </c>
      <c r="K180" t="str">
        <f>TEXT(Table1[[#This Row],[Order Date]], "MMM")</f>
        <v>Mar</v>
      </c>
    </row>
    <row r="181" spans="1:11">
      <c r="A181">
        <v>1242</v>
      </c>
      <c r="B181" s="4" t="s">
        <v>93</v>
      </c>
      <c r="C181" t="s">
        <v>12</v>
      </c>
      <c r="D181" t="s">
        <v>22</v>
      </c>
      <c r="E181" s="8">
        <v>2842</v>
      </c>
      <c r="F181" s="8">
        <v>280</v>
      </c>
      <c r="G181" t="s">
        <v>30</v>
      </c>
      <c r="H181" t="s">
        <v>15</v>
      </c>
      <c r="I181">
        <f>F181/E181</f>
        <v>9.8522167487684734E-2</v>
      </c>
      <c r="J181">
        <f>YEAR(Table1[[#This Row],[Order Date]])</f>
        <v>2023</v>
      </c>
      <c r="K181" t="str">
        <f>TEXT(Table1[[#This Row],[Order Date]], "MMM")</f>
        <v>Mar</v>
      </c>
    </row>
    <row r="182" spans="1:11">
      <c r="A182">
        <v>1388</v>
      </c>
      <c r="B182" s="4" t="s">
        <v>93</v>
      </c>
      <c r="C182" t="s">
        <v>21</v>
      </c>
      <c r="D182" t="s">
        <v>13</v>
      </c>
      <c r="E182" s="8">
        <v>736</v>
      </c>
      <c r="F182" s="8">
        <v>537</v>
      </c>
      <c r="G182" t="s">
        <v>23</v>
      </c>
      <c r="H182" t="s">
        <v>15</v>
      </c>
      <c r="I182">
        <f>F182/E182</f>
        <v>0.72961956521739135</v>
      </c>
      <c r="J182">
        <f>YEAR(Table1[[#This Row],[Order Date]])</f>
        <v>2023</v>
      </c>
      <c r="K182" t="str">
        <f>TEXT(Table1[[#This Row],[Order Date]], "MMM")</f>
        <v>Mar</v>
      </c>
    </row>
    <row r="183" spans="1:11">
      <c r="A183">
        <v>1864</v>
      </c>
      <c r="B183" s="4" t="s">
        <v>93</v>
      </c>
      <c r="C183" t="s">
        <v>17</v>
      </c>
      <c r="D183" t="s">
        <v>22</v>
      </c>
      <c r="E183" s="8">
        <v>3638</v>
      </c>
      <c r="F183" s="8">
        <v>738</v>
      </c>
      <c r="G183" t="s">
        <v>14</v>
      </c>
      <c r="H183" t="s">
        <v>19</v>
      </c>
      <c r="I183">
        <f>F183/E183</f>
        <v>0.20285871357888949</v>
      </c>
      <c r="J183">
        <f>YEAR(Table1[[#This Row],[Order Date]])</f>
        <v>2023</v>
      </c>
      <c r="K183" t="str">
        <f>TEXT(Table1[[#This Row],[Order Date]], "MMM")</f>
        <v>Mar</v>
      </c>
    </row>
    <row r="184" spans="1:11">
      <c r="A184">
        <v>1244</v>
      </c>
      <c r="B184" s="4" t="s">
        <v>94</v>
      </c>
      <c r="C184" t="s">
        <v>29</v>
      </c>
      <c r="D184" t="s">
        <v>22</v>
      </c>
      <c r="E184" s="8">
        <v>2525</v>
      </c>
      <c r="F184" s="8">
        <v>379</v>
      </c>
      <c r="G184" t="s">
        <v>14</v>
      </c>
      <c r="H184" t="s">
        <v>19</v>
      </c>
      <c r="I184">
        <f>F184/E184</f>
        <v>0.15009900990099009</v>
      </c>
      <c r="J184">
        <f>YEAR(Table1[[#This Row],[Order Date]])</f>
        <v>2023</v>
      </c>
      <c r="K184" t="str">
        <f>TEXT(Table1[[#This Row],[Order Date]], "MMM")</f>
        <v>Mar</v>
      </c>
    </row>
    <row r="185" spans="1:11">
      <c r="A185">
        <v>1330</v>
      </c>
      <c r="B185" s="4" t="s">
        <v>94</v>
      </c>
      <c r="C185" t="s">
        <v>27</v>
      </c>
      <c r="D185" t="s">
        <v>22</v>
      </c>
      <c r="E185" s="8">
        <v>1817</v>
      </c>
      <c r="F185" s="8">
        <v>824</v>
      </c>
      <c r="G185" t="s">
        <v>14</v>
      </c>
      <c r="H185" t="s">
        <v>19</v>
      </c>
      <c r="I185">
        <f>F185/E185</f>
        <v>0.453494771601541</v>
      </c>
      <c r="J185">
        <f>YEAR(Table1[[#This Row],[Order Date]])</f>
        <v>2023</v>
      </c>
      <c r="K185" t="str">
        <f>TEXT(Table1[[#This Row],[Order Date]], "MMM")</f>
        <v>Mar</v>
      </c>
    </row>
    <row r="186" spans="1:11">
      <c r="A186">
        <v>1475</v>
      </c>
      <c r="B186" s="4" t="s">
        <v>94</v>
      </c>
      <c r="C186" t="s">
        <v>21</v>
      </c>
      <c r="D186" t="s">
        <v>25</v>
      </c>
      <c r="E186" s="8">
        <v>3287</v>
      </c>
      <c r="F186" s="8">
        <v>974</v>
      </c>
      <c r="G186" t="s">
        <v>23</v>
      </c>
      <c r="H186" t="s">
        <v>15</v>
      </c>
      <c r="I186">
        <f>F186/E186</f>
        <v>0.29631883176148466</v>
      </c>
      <c r="J186">
        <f>YEAR(Table1[[#This Row],[Order Date]])</f>
        <v>2023</v>
      </c>
      <c r="K186" t="str">
        <f>TEXT(Table1[[#This Row],[Order Date]], "MMM")</f>
        <v>Mar</v>
      </c>
    </row>
    <row r="187" spans="1:11">
      <c r="A187">
        <v>1482</v>
      </c>
      <c r="B187" s="4" t="s">
        <v>94</v>
      </c>
      <c r="C187" t="s">
        <v>17</v>
      </c>
      <c r="D187" t="s">
        <v>13</v>
      </c>
      <c r="E187" s="8">
        <v>3126</v>
      </c>
      <c r="F187" s="8">
        <v>896</v>
      </c>
      <c r="G187" t="s">
        <v>23</v>
      </c>
      <c r="H187" t="s">
        <v>15</v>
      </c>
      <c r="I187">
        <f>F187/E187</f>
        <v>0.28662827895073578</v>
      </c>
      <c r="J187">
        <f>YEAR(Table1[[#This Row],[Order Date]])</f>
        <v>2023</v>
      </c>
      <c r="K187" t="str">
        <f>TEXT(Table1[[#This Row],[Order Date]], "MMM")</f>
        <v>Mar</v>
      </c>
    </row>
    <row r="188" spans="1:11">
      <c r="A188">
        <v>1623</v>
      </c>
      <c r="B188" s="4" t="s">
        <v>94</v>
      </c>
      <c r="C188" t="s">
        <v>12</v>
      </c>
      <c r="D188" t="s">
        <v>25</v>
      </c>
      <c r="E188" s="8">
        <v>3614</v>
      </c>
      <c r="F188" s="8">
        <v>654</v>
      </c>
      <c r="G188" t="s">
        <v>18</v>
      </c>
      <c r="H188" t="s">
        <v>19</v>
      </c>
      <c r="I188">
        <f>F188/E188</f>
        <v>0.18096292197011621</v>
      </c>
      <c r="J188">
        <f>YEAR(Table1[[#This Row],[Order Date]])</f>
        <v>2023</v>
      </c>
      <c r="K188" t="str">
        <f>TEXT(Table1[[#This Row],[Order Date]], "MMM")</f>
        <v>Mar</v>
      </c>
    </row>
    <row r="189" spans="1:11">
      <c r="A189">
        <v>1689</v>
      </c>
      <c r="B189" s="4" t="s">
        <v>94</v>
      </c>
      <c r="C189" t="s">
        <v>29</v>
      </c>
      <c r="D189" t="s">
        <v>22</v>
      </c>
      <c r="E189" s="8">
        <v>2786</v>
      </c>
      <c r="F189" s="8">
        <v>952</v>
      </c>
      <c r="G189" t="s">
        <v>14</v>
      </c>
      <c r="H189" t="s">
        <v>19</v>
      </c>
      <c r="I189">
        <f>F189/E189</f>
        <v>0.34170854271356782</v>
      </c>
      <c r="J189">
        <f>YEAR(Table1[[#This Row],[Order Date]])</f>
        <v>2023</v>
      </c>
      <c r="K189" t="str">
        <f>TEXT(Table1[[#This Row],[Order Date]], "MMM")</f>
        <v>Mar</v>
      </c>
    </row>
    <row r="190" spans="1:11">
      <c r="A190">
        <v>1792</v>
      </c>
      <c r="B190" s="4" t="s">
        <v>94</v>
      </c>
      <c r="C190" t="s">
        <v>17</v>
      </c>
      <c r="D190" t="s">
        <v>25</v>
      </c>
      <c r="E190" s="8">
        <v>873</v>
      </c>
      <c r="F190" s="8">
        <v>974</v>
      </c>
      <c r="G190" t="s">
        <v>14</v>
      </c>
      <c r="H190" t="s">
        <v>19</v>
      </c>
      <c r="I190">
        <f>F190/E190</f>
        <v>1.1156930126002291</v>
      </c>
      <c r="J190">
        <f>YEAR(Table1[[#This Row],[Order Date]])</f>
        <v>2023</v>
      </c>
      <c r="K190" t="str">
        <f>TEXT(Table1[[#This Row],[Order Date]], "MMM")</f>
        <v>Mar</v>
      </c>
    </row>
    <row r="191" spans="1:11">
      <c r="A191">
        <v>1267</v>
      </c>
      <c r="B191" s="4" t="s">
        <v>95</v>
      </c>
      <c r="C191" t="s">
        <v>17</v>
      </c>
      <c r="D191" t="s">
        <v>22</v>
      </c>
      <c r="E191" s="8">
        <v>4091</v>
      </c>
      <c r="F191" s="8">
        <v>104</v>
      </c>
      <c r="G191" t="s">
        <v>23</v>
      </c>
      <c r="H191" t="s">
        <v>15</v>
      </c>
      <c r="I191">
        <f>F191/E191</f>
        <v>2.5421657296504523E-2</v>
      </c>
      <c r="J191">
        <f>YEAR(Table1[[#This Row],[Order Date]])</f>
        <v>2023</v>
      </c>
      <c r="K191" t="str">
        <f>TEXT(Table1[[#This Row],[Order Date]], "MMM")</f>
        <v>Mar</v>
      </c>
    </row>
    <row r="192" spans="1:11">
      <c r="A192">
        <v>1655</v>
      </c>
      <c r="B192" s="4" t="s">
        <v>95</v>
      </c>
      <c r="C192" t="s">
        <v>24</v>
      </c>
      <c r="D192" t="s">
        <v>13</v>
      </c>
      <c r="E192" s="8">
        <v>4616</v>
      </c>
      <c r="F192" s="8">
        <v>309</v>
      </c>
      <c r="G192" t="s">
        <v>23</v>
      </c>
      <c r="H192" t="s">
        <v>15</v>
      </c>
      <c r="I192">
        <f>F192/E192</f>
        <v>6.6941074523396885E-2</v>
      </c>
      <c r="J192">
        <f>YEAR(Table1[[#This Row],[Order Date]])</f>
        <v>2023</v>
      </c>
      <c r="K192" t="str">
        <f>TEXT(Table1[[#This Row],[Order Date]], "MMM")</f>
        <v>Mar</v>
      </c>
    </row>
    <row r="193" spans="1:11">
      <c r="A193">
        <v>1802</v>
      </c>
      <c r="B193" s="4" t="s">
        <v>95</v>
      </c>
      <c r="C193" t="s">
        <v>27</v>
      </c>
      <c r="D193" t="s">
        <v>25</v>
      </c>
      <c r="E193" s="8">
        <v>624</v>
      </c>
      <c r="F193" s="8">
        <v>326</v>
      </c>
      <c r="G193" t="s">
        <v>23</v>
      </c>
      <c r="H193" t="s">
        <v>19</v>
      </c>
      <c r="I193">
        <f>F193/E193</f>
        <v>0.52243589743589747</v>
      </c>
      <c r="J193">
        <f>YEAR(Table1[[#This Row],[Order Date]])</f>
        <v>2023</v>
      </c>
      <c r="K193" t="str">
        <f>TEXT(Table1[[#This Row],[Order Date]], "MMM")</f>
        <v>Mar</v>
      </c>
    </row>
    <row r="194" spans="1:11">
      <c r="A194">
        <v>1898</v>
      </c>
      <c r="B194" s="4" t="s">
        <v>95</v>
      </c>
      <c r="C194" t="s">
        <v>24</v>
      </c>
      <c r="D194" t="s">
        <v>25</v>
      </c>
      <c r="E194" s="8">
        <v>3113</v>
      </c>
      <c r="F194" s="8">
        <v>912</v>
      </c>
      <c r="G194" t="s">
        <v>14</v>
      </c>
      <c r="H194" t="s">
        <v>15</v>
      </c>
      <c r="I194">
        <f>F194/E194</f>
        <v>0.29296498554449085</v>
      </c>
      <c r="J194">
        <f>YEAR(Table1[[#This Row],[Order Date]])</f>
        <v>2023</v>
      </c>
      <c r="K194" t="str">
        <f>TEXT(Table1[[#This Row],[Order Date]], "MMM")</f>
        <v>Mar</v>
      </c>
    </row>
    <row r="195" spans="1:11">
      <c r="A195">
        <v>1132</v>
      </c>
      <c r="B195" s="4" t="s">
        <v>96</v>
      </c>
      <c r="C195" t="s">
        <v>17</v>
      </c>
      <c r="D195" t="s">
        <v>13</v>
      </c>
      <c r="E195" s="8">
        <v>1443</v>
      </c>
      <c r="F195" s="8">
        <v>687</v>
      </c>
      <c r="G195" t="s">
        <v>14</v>
      </c>
      <c r="H195" t="s">
        <v>15</v>
      </c>
      <c r="I195">
        <f>F195/E195</f>
        <v>0.47609147609147612</v>
      </c>
      <c r="J195">
        <f>YEAR(Table1[[#This Row],[Order Date]])</f>
        <v>2023</v>
      </c>
      <c r="K195" t="str">
        <f>TEXT(Table1[[#This Row],[Order Date]], "MMM")</f>
        <v>Mar</v>
      </c>
    </row>
    <row r="196" spans="1:11">
      <c r="A196">
        <v>1853</v>
      </c>
      <c r="B196" s="4" t="s">
        <v>96</v>
      </c>
      <c r="C196" t="s">
        <v>27</v>
      </c>
      <c r="D196" t="s">
        <v>13</v>
      </c>
      <c r="E196" s="8">
        <v>4615</v>
      </c>
      <c r="F196" s="8">
        <v>21</v>
      </c>
      <c r="G196" t="s">
        <v>14</v>
      </c>
      <c r="H196" t="s">
        <v>19</v>
      </c>
      <c r="I196">
        <f>F196/E196</f>
        <v>4.5503791982665224E-3</v>
      </c>
      <c r="J196">
        <f>YEAR(Table1[[#This Row],[Order Date]])</f>
        <v>2023</v>
      </c>
      <c r="K196" t="str">
        <f>TEXT(Table1[[#This Row],[Order Date]], "MMM")</f>
        <v>Mar</v>
      </c>
    </row>
    <row r="197" spans="1:11">
      <c r="A197">
        <v>1905</v>
      </c>
      <c r="B197" s="4" t="s">
        <v>96</v>
      </c>
      <c r="C197" t="s">
        <v>12</v>
      </c>
      <c r="D197" t="s">
        <v>22</v>
      </c>
      <c r="E197" s="8">
        <v>181</v>
      </c>
      <c r="F197" s="8">
        <v>673</v>
      </c>
      <c r="G197" t="s">
        <v>18</v>
      </c>
      <c r="H197" t="s">
        <v>19</v>
      </c>
      <c r="I197">
        <f>F197/E197</f>
        <v>3.7182320441988952</v>
      </c>
      <c r="J197">
        <f>YEAR(Table1[[#This Row],[Order Date]])</f>
        <v>2023</v>
      </c>
      <c r="K197" t="str">
        <f>TEXT(Table1[[#This Row],[Order Date]], "MMM")</f>
        <v>Mar</v>
      </c>
    </row>
    <row r="198" spans="1:11">
      <c r="A198">
        <v>1335</v>
      </c>
      <c r="B198" s="4" t="s">
        <v>97</v>
      </c>
      <c r="C198" t="s">
        <v>28</v>
      </c>
      <c r="D198" t="s">
        <v>22</v>
      </c>
      <c r="E198" s="8">
        <v>1462</v>
      </c>
      <c r="F198" s="8">
        <v>454</v>
      </c>
      <c r="G198" t="s">
        <v>18</v>
      </c>
      <c r="H198" t="s">
        <v>19</v>
      </c>
      <c r="I198">
        <f>F198/E198</f>
        <v>0.31053351573187415</v>
      </c>
      <c r="J198">
        <f>YEAR(Table1[[#This Row],[Order Date]])</f>
        <v>2023</v>
      </c>
      <c r="K198" t="str">
        <f>TEXT(Table1[[#This Row],[Order Date]], "MMM")</f>
        <v>Mar</v>
      </c>
    </row>
    <row r="199" spans="1:11">
      <c r="A199">
        <v>1581</v>
      </c>
      <c r="B199" s="4" t="s">
        <v>97</v>
      </c>
      <c r="C199" t="s">
        <v>17</v>
      </c>
      <c r="D199" t="s">
        <v>13</v>
      </c>
      <c r="E199" s="8">
        <v>3161</v>
      </c>
      <c r="F199" s="8">
        <v>803</v>
      </c>
      <c r="G199" t="s">
        <v>18</v>
      </c>
      <c r="H199" t="s">
        <v>15</v>
      </c>
      <c r="I199">
        <f>F199/E199</f>
        <v>0.25403353369186965</v>
      </c>
      <c r="J199">
        <f>YEAR(Table1[[#This Row],[Order Date]])</f>
        <v>2023</v>
      </c>
      <c r="K199" t="str">
        <f>TEXT(Table1[[#This Row],[Order Date]], "MMM")</f>
        <v>Mar</v>
      </c>
    </row>
    <row r="200" spans="1:11">
      <c r="A200">
        <v>1620</v>
      </c>
      <c r="B200" s="4" t="s">
        <v>97</v>
      </c>
      <c r="C200" t="s">
        <v>24</v>
      </c>
      <c r="D200" t="s">
        <v>25</v>
      </c>
      <c r="E200" s="8">
        <v>3112</v>
      </c>
      <c r="F200" s="8">
        <v>193</v>
      </c>
      <c r="G200" t="s">
        <v>14</v>
      </c>
      <c r="H200" t="s">
        <v>19</v>
      </c>
      <c r="I200">
        <f>F200/E200</f>
        <v>6.2017994858611827E-2</v>
      </c>
      <c r="J200">
        <f>YEAR(Table1[[#This Row],[Order Date]])</f>
        <v>2023</v>
      </c>
      <c r="K200" t="str">
        <f>TEXT(Table1[[#This Row],[Order Date]], "MMM")</f>
        <v>Mar</v>
      </c>
    </row>
    <row r="201" spans="1:11">
      <c r="A201">
        <v>1756</v>
      </c>
      <c r="B201" s="4" t="s">
        <v>97</v>
      </c>
      <c r="C201" t="s">
        <v>12</v>
      </c>
      <c r="D201" t="s">
        <v>22</v>
      </c>
      <c r="E201" s="8">
        <v>326</v>
      </c>
      <c r="F201" s="8">
        <v>314</v>
      </c>
      <c r="G201" t="s">
        <v>23</v>
      </c>
      <c r="H201" t="s">
        <v>15</v>
      </c>
      <c r="I201">
        <f>F201/E201</f>
        <v>0.96319018404907975</v>
      </c>
      <c r="J201">
        <f>YEAR(Table1[[#This Row],[Order Date]])</f>
        <v>2023</v>
      </c>
      <c r="K201" t="str">
        <f>TEXT(Table1[[#This Row],[Order Date]], "MMM")</f>
        <v>Mar</v>
      </c>
    </row>
    <row r="202" spans="1:11">
      <c r="A202">
        <v>1959</v>
      </c>
      <c r="B202" s="4" t="s">
        <v>97</v>
      </c>
      <c r="C202" t="s">
        <v>29</v>
      </c>
      <c r="D202" t="s">
        <v>25</v>
      </c>
      <c r="E202" s="8">
        <v>2168</v>
      </c>
      <c r="F202" s="8">
        <v>653</v>
      </c>
      <c r="G202" t="s">
        <v>23</v>
      </c>
      <c r="H202" t="s">
        <v>19</v>
      </c>
      <c r="I202">
        <f>F202/E202</f>
        <v>0.30119926199261993</v>
      </c>
      <c r="J202">
        <f>YEAR(Table1[[#This Row],[Order Date]])</f>
        <v>2023</v>
      </c>
      <c r="K202" t="str">
        <f>TEXT(Table1[[#This Row],[Order Date]], "MMM")</f>
        <v>Mar</v>
      </c>
    </row>
    <row r="203" spans="1:11">
      <c r="A203">
        <v>1976</v>
      </c>
      <c r="B203" s="4" t="s">
        <v>97</v>
      </c>
      <c r="C203" t="s">
        <v>28</v>
      </c>
      <c r="D203" t="s">
        <v>13</v>
      </c>
      <c r="E203" s="8">
        <v>417</v>
      </c>
      <c r="F203" s="8">
        <v>30</v>
      </c>
      <c r="G203" t="s">
        <v>18</v>
      </c>
      <c r="H203" t="s">
        <v>15</v>
      </c>
      <c r="I203">
        <f>F203/E203</f>
        <v>7.1942446043165464E-2</v>
      </c>
      <c r="J203">
        <f>YEAR(Table1[[#This Row],[Order Date]])</f>
        <v>2023</v>
      </c>
      <c r="K203" t="str">
        <f>TEXT(Table1[[#This Row],[Order Date]], "MMM")</f>
        <v>Mar</v>
      </c>
    </row>
    <row r="204" spans="1:11">
      <c r="A204">
        <v>1419</v>
      </c>
      <c r="B204" s="4" t="s">
        <v>98</v>
      </c>
      <c r="C204" t="s">
        <v>29</v>
      </c>
      <c r="D204" t="s">
        <v>25</v>
      </c>
      <c r="E204" s="8">
        <v>779</v>
      </c>
      <c r="F204" s="8">
        <v>698</v>
      </c>
      <c r="G204" t="s">
        <v>18</v>
      </c>
      <c r="H204" t="s">
        <v>15</v>
      </c>
      <c r="I204">
        <f>F204/E204</f>
        <v>0.89602053915275992</v>
      </c>
      <c r="J204">
        <f>YEAR(Table1[[#This Row],[Order Date]])</f>
        <v>2023</v>
      </c>
      <c r="K204" t="str">
        <f>TEXT(Table1[[#This Row],[Order Date]], "MMM")</f>
        <v>Mar</v>
      </c>
    </row>
    <row r="205" spans="1:11">
      <c r="A205">
        <v>1829</v>
      </c>
      <c r="B205" s="4" t="s">
        <v>98</v>
      </c>
      <c r="C205" t="s">
        <v>28</v>
      </c>
      <c r="D205" t="s">
        <v>22</v>
      </c>
      <c r="E205" s="8">
        <v>430</v>
      </c>
      <c r="F205" s="8">
        <v>537</v>
      </c>
      <c r="G205" t="s">
        <v>23</v>
      </c>
      <c r="H205" t="s">
        <v>15</v>
      </c>
      <c r="I205">
        <f>F205/E205</f>
        <v>1.2488372093023257</v>
      </c>
      <c r="J205">
        <f>YEAR(Table1[[#This Row],[Order Date]])</f>
        <v>2023</v>
      </c>
      <c r="K205" t="str">
        <f>TEXT(Table1[[#This Row],[Order Date]], "MMM")</f>
        <v>Mar</v>
      </c>
    </row>
    <row r="206" spans="1:11">
      <c r="A206">
        <v>1920</v>
      </c>
      <c r="B206" s="4" t="s">
        <v>98</v>
      </c>
      <c r="C206" t="s">
        <v>27</v>
      </c>
      <c r="D206" t="s">
        <v>13</v>
      </c>
      <c r="E206" s="8">
        <v>4159</v>
      </c>
      <c r="F206" s="8">
        <v>357</v>
      </c>
      <c r="G206" t="s">
        <v>30</v>
      </c>
      <c r="H206" t="s">
        <v>15</v>
      </c>
      <c r="I206">
        <f>F206/E206</f>
        <v>8.5837941812935803E-2</v>
      </c>
      <c r="J206">
        <f>YEAR(Table1[[#This Row],[Order Date]])</f>
        <v>2023</v>
      </c>
      <c r="K206" t="str">
        <f>TEXT(Table1[[#This Row],[Order Date]], "MMM")</f>
        <v>Mar</v>
      </c>
    </row>
    <row r="207" spans="1:11">
      <c r="A207">
        <v>1085</v>
      </c>
      <c r="B207" s="4" t="s">
        <v>99</v>
      </c>
      <c r="C207" t="s">
        <v>17</v>
      </c>
      <c r="D207" t="s">
        <v>13</v>
      </c>
      <c r="E207" s="8">
        <v>4261</v>
      </c>
      <c r="F207" s="8">
        <v>528</v>
      </c>
      <c r="G207" t="s">
        <v>23</v>
      </c>
      <c r="H207" t="s">
        <v>19</v>
      </c>
      <c r="I207">
        <f>F207/E207</f>
        <v>0.12391457404365172</v>
      </c>
      <c r="J207">
        <f>YEAR(Table1[[#This Row],[Order Date]])</f>
        <v>2023</v>
      </c>
      <c r="K207" t="str">
        <f>TEXT(Table1[[#This Row],[Order Date]], "MMM")</f>
        <v>Mar</v>
      </c>
    </row>
    <row r="208" spans="1:11">
      <c r="A208">
        <v>1233</v>
      </c>
      <c r="B208" s="4" t="s">
        <v>99</v>
      </c>
      <c r="C208" t="s">
        <v>12</v>
      </c>
      <c r="D208" t="s">
        <v>25</v>
      </c>
      <c r="E208" s="8">
        <v>2065</v>
      </c>
      <c r="F208" s="8">
        <v>783</v>
      </c>
      <c r="G208" t="s">
        <v>14</v>
      </c>
      <c r="H208" t="s">
        <v>15</v>
      </c>
      <c r="I208">
        <f>F208/E208</f>
        <v>0.37917675544794188</v>
      </c>
      <c r="J208">
        <f>YEAR(Table1[[#This Row],[Order Date]])</f>
        <v>2023</v>
      </c>
      <c r="K208" t="str">
        <f>TEXT(Table1[[#This Row],[Order Date]], "MMM")</f>
        <v>Mar</v>
      </c>
    </row>
    <row r="209" spans="1:11">
      <c r="A209">
        <v>1717</v>
      </c>
      <c r="B209" s="4" t="s">
        <v>99</v>
      </c>
      <c r="C209" t="s">
        <v>27</v>
      </c>
      <c r="D209" t="s">
        <v>13</v>
      </c>
      <c r="E209" s="8">
        <v>3910</v>
      </c>
      <c r="F209" s="8">
        <v>493</v>
      </c>
      <c r="G209" t="s">
        <v>30</v>
      </c>
      <c r="H209" t="s">
        <v>19</v>
      </c>
      <c r="I209">
        <f>F209/E209</f>
        <v>0.12608695652173912</v>
      </c>
      <c r="J209">
        <f>YEAR(Table1[[#This Row],[Order Date]])</f>
        <v>2023</v>
      </c>
      <c r="K209" t="str">
        <f>TEXT(Table1[[#This Row],[Order Date]], "MMM")</f>
        <v>Mar</v>
      </c>
    </row>
    <row r="210" spans="1:11">
      <c r="A210">
        <v>1253</v>
      </c>
      <c r="B210" s="4" t="s">
        <v>100</v>
      </c>
      <c r="C210" t="s">
        <v>12</v>
      </c>
      <c r="D210" t="s">
        <v>13</v>
      </c>
      <c r="E210" s="8">
        <v>619</v>
      </c>
      <c r="F210" s="8">
        <v>292</v>
      </c>
      <c r="G210" t="s">
        <v>18</v>
      </c>
      <c r="H210" t="s">
        <v>15</v>
      </c>
      <c r="I210">
        <f>F210/E210</f>
        <v>0.47172859450726978</v>
      </c>
      <c r="J210">
        <f>YEAR(Table1[[#This Row],[Order Date]])</f>
        <v>2023</v>
      </c>
      <c r="K210" t="str">
        <f>TEXT(Table1[[#This Row],[Order Date]], "MMM")</f>
        <v>Mar</v>
      </c>
    </row>
    <row r="211" spans="1:11">
      <c r="A211">
        <v>1857</v>
      </c>
      <c r="B211" s="4" t="s">
        <v>101</v>
      </c>
      <c r="C211" t="s">
        <v>28</v>
      </c>
      <c r="D211" t="s">
        <v>25</v>
      </c>
      <c r="E211" s="8">
        <v>3052</v>
      </c>
      <c r="F211" s="8">
        <v>158</v>
      </c>
      <c r="G211" t="s">
        <v>14</v>
      </c>
      <c r="H211" t="s">
        <v>19</v>
      </c>
      <c r="I211">
        <f>F211/E211</f>
        <v>5.1769331585845346E-2</v>
      </c>
      <c r="J211">
        <f>YEAR(Table1[[#This Row],[Order Date]])</f>
        <v>2023</v>
      </c>
      <c r="K211" t="str">
        <f>TEXT(Table1[[#This Row],[Order Date]], "MMM")</f>
        <v>Mar</v>
      </c>
    </row>
    <row r="212" spans="1:11">
      <c r="A212">
        <v>1997</v>
      </c>
      <c r="B212" s="4" t="s">
        <v>101</v>
      </c>
      <c r="C212" t="s">
        <v>29</v>
      </c>
      <c r="D212" t="s">
        <v>13</v>
      </c>
      <c r="E212" s="8">
        <v>4603</v>
      </c>
      <c r="F212" s="8">
        <v>414</v>
      </c>
      <c r="G212" t="s">
        <v>23</v>
      </c>
      <c r="H212" t="s">
        <v>15</v>
      </c>
      <c r="I212">
        <f>F212/E212</f>
        <v>8.9941342602650451E-2</v>
      </c>
      <c r="J212">
        <f>YEAR(Table1[[#This Row],[Order Date]])</f>
        <v>2023</v>
      </c>
      <c r="K212" t="str">
        <f>TEXT(Table1[[#This Row],[Order Date]], "MMM")</f>
        <v>Mar</v>
      </c>
    </row>
    <row r="213" spans="1:11">
      <c r="A213">
        <v>1001</v>
      </c>
      <c r="B213" s="4" t="s">
        <v>102</v>
      </c>
      <c r="C213" t="s">
        <v>21</v>
      </c>
      <c r="D213" t="s">
        <v>13</v>
      </c>
      <c r="E213" s="8">
        <v>2200</v>
      </c>
      <c r="F213" s="8">
        <v>137</v>
      </c>
      <c r="G213" t="s">
        <v>18</v>
      </c>
      <c r="H213" t="s">
        <v>15</v>
      </c>
      <c r="I213">
        <f>F213/E213</f>
        <v>6.2272727272727271E-2</v>
      </c>
      <c r="J213">
        <f>YEAR(Table1[[#This Row],[Order Date]])</f>
        <v>2023</v>
      </c>
      <c r="K213" t="str">
        <f>TEXT(Table1[[#This Row],[Order Date]], "MMM")</f>
        <v>Mar</v>
      </c>
    </row>
    <row r="214" spans="1:11">
      <c r="A214">
        <v>1530</v>
      </c>
      <c r="B214" s="4" t="s">
        <v>102</v>
      </c>
      <c r="C214" t="s">
        <v>21</v>
      </c>
      <c r="D214" t="s">
        <v>13</v>
      </c>
      <c r="E214" s="8">
        <v>4478</v>
      </c>
      <c r="F214" s="8">
        <v>569</v>
      </c>
      <c r="G214" t="s">
        <v>23</v>
      </c>
      <c r="H214" t="s">
        <v>19</v>
      </c>
      <c r="I214">
        <f>F214/E214</f>
        <v>0.12706565430995981</v>
      </c>
      <c r="J214">
        <f>YEAR(Table1[[#This Row],[Order Date]])</f>
        <v>2023</v>
      </c>
      <c r="K214" t="str">
        <f>TEXT(Table1[[#This Row],[Order Date]], "MMM")</f>
        <v>Mar</v>
      </c>
    </row>
    <row r="215" spans="1:11">
      <c r="A215">
        <v>1565</v>
      </c>
      <c r="B215" s="4" t="s">
        <v>102</v>
      </c>
      <c r="C215" t="s">
        <v>12</v>
      </c>
      <c r="D215" t="s">
        <v>22</v>
      </c>
      <c r="E215" s="8">
        <v>4038</v>
      </c>
      <c r="F215" s="8">
        <v>840</v>
      </c>
      <c r="G215" t="s">
        <v>18</v>
      </c>
      <c r="H215" t="s">
        <v>19</v>
      </c>
      <c r="I215">
        <f>F215/E215</f>
        <v>0.20802377414561665</v>
      </c>
      <c r="J215">
        <f>YEAR(Table1[[#This Row],[Order Date]])</f>
        <v>2023</v>
      </c>
      <c r="K215" t="str">
        <f>TEXT(Table1[[#This Row],[Order Date]], "MMM")</f>
        <v>Mar</v>
      </c>
    </row>
    <row r="216" spans="1:11">
      <c r="A216">
        <v>1778</v>
      </c>
      <c r="B216" s="4" t="s">
        <v>102</v>
      </c>
      <c r="C216" t="s">
        <v>24</v>
      </c>
      <c r="D216" t="s">
        <v>13</v>
      </c>
      <c r="E216" s="8">
        <v>1243</v>
      </c>
      <c r="F216" s="8">
        <v>33</v>
      </c>
      <c r="G216" t="s">
        <v>23</v>
      </c>
      <c r="H216" t="s">
        <v>15</v>
      </c>
      <c r="I216">
        <f>F216/E216</f>
        <v>2.6548672566371681E-2</v>
      </c>
      <c r="J216">
        <f>YEAR(Table1[[#This Row],[Order Date]])</f>
        <v>2023</v>
      </c>
      <c r="K216" t="str">
        <f>TEXT(Table1[[#This Row],[Order Date]], "MMM")</f>
        <v>Mar</v>
      </c>
    </row>
    <row r="217" spans="1:11">
      <c r="A217">
        <v>1032</v>
      </c>
      <c r="B217" s="4" t="s">
        <v>103</v>
      </c>
      <c r="C217" t="s">
        <v>28</v>
      </c>
      <c r="D217" t="s">
        <v>13</v>
      </c>
      <c r="E217" s="8">
        <v>1437</v>
      </c>
      <c r="F217" s="8">
        <v>178</v>
      </c>
      <c r="G217" t="s">
        <v>30</v>
      </c>
      <c r="H217" t="s">
        <v>15</v>
      </c>
      <c r="I217">
        <f>F217/E217</f>
        <v>0.12386917188587335</v>
      </c>
      <c r="J217">
        <f>YEAR(Table1[[#This Row],[Order Date]])</f>
        <v>2023</v>
      </c>
      <c r="K217" t="str">
        <f>TEXT(Table1[[#This Row],[Order Date]], "MMM")</f>
        <v>Mar</v>
      </c>
    </row>
    <row r="218" spans="1:11">
      <c r="A218">
        <v>1293</v>
      </c>
      <c r="B218" s="4" t="s">
        <v>103</v>
      </c>
      <c r="C218" t="s">
        <v>12</v>
      </c>
      <c r="D218" t="s">
        <v>13</v>
      </c>
      <c r="E218" s="8">
        <v>3118</v>
      </c>
      <c r="F218" s="8">
        <v>139</v>
      </c>
      <c r="G218" t="s">
        <v>23</v>
      </c>
      <c r="H218" t="s">
        <v>15</v>
      </c>
      <c r="I218">
        <f>F218/E218</f>
        <v>4.4579858883899932E-2</v>
      </c>
      <c r="J218">
        <f>YEAR(Table1[[#This Row],[Order Date]])</f>
        <v>2023</v>
      </c>
      <c r="K218" t="str">
        <f>TEXT(Table1[[#This Row],[Order Date]], "MMM")</f>
        <v>Mar</v>
      </c>
    </row>
    <row r="219" spans="1:11">
      <c r="A219">
        <v>1750</v>
      </c>
      <c r="B219" s="4" t="s">
        <v>103</v>
      </c>
      <c r="C219" t="s">
        <v>24</v>
      </c>
      <c r="D219" t="s">
        <v>22</v>
      </c>
      <c r="E219" s="8">
        <v>593</v>
      </c>
      <c r="F219" s="8">
        <v>439</v>
      </c>
      <c r="G219" t="s">
        <v>14</v>
      </c>
      <c r="H219" t="s">
        <v>19</v>
      </c>
      <c r="I219">
        <f>F219/E219</f>
        <v>0.7403035413153457</v>
      </c>
      <c r="J219">
        <f>YEAR(Table1[[#This Row],[Order Date]])</f>
        <v>2023</v>
      </c>
      <c r="K219" t="str">
        <f>TEXT(Table1[[#This Row],[Order Date]], "MMM")</f>
        <v>Mar</v>
      </c>
    </row>
    <row r="220" spans="1:11">
      <c r="A220">
        <v>1890</v>
      </c>
      <c r="B220" s="4" t="s">
        <v>103</v>
      </c>
      <c r="C220" t="s">
        <v>29</v>
      </c>
      <c r="D220" t="s">
        <v>25</v>
      </c>
      <c r="E220" s="8">
        <v>2128</v>
      </c>
      <c r="F220" s="8">
        <v>881</v>
      </c>
      <c r="G220" t="s">
        <v>23</v>
      </c>
      <c r="H220" t="s">
        <v>15</v>
      </c>
      <c r="I220">
        <f>F220/E220</f>
        <v>0.41400375939849626</v>
      </c>
      <c r="J220">
        <f>YEAR(Table1[[#This Row],[Order Date]])</f>
        <v>2023</v>
      </c>
      <c r="K220" t="str">
        <f>TEXT(Table1[[#This Row],[Order Date]], "MMM")</f>
        <v>Mar</v>
      </c>
    </row>
    <row r="221" spans="1:11">
      <c r="A221">
        <v>1488</v>
      </c>
      <c r="B221" s="4" t="s">
        <v>104</v>
      </c>
      <c r="C221" t="s">
        <v>21</v>
      </c>
      <c r="D221" t="s">
        <v>25</v>
      </c>
      <c r="E221" s="8">
        <v>680</v>
      </c>
      <c r="F221" s="8">
        <v>137</v>
      </c>
      <c r="G221" t="s">
        <v>18</v>
      </c>
      <c r="H221" t="s">
        <v>19</v>
      </c>
      <c r="I221">
        <f>F221/E221</f>
        <v>0.20147058823529412</v>
      </c>
      <c r="J221">
        <f>YEAR(Table1[[#This Row],[Order Date]])</f>
        <v>2023</v>
      </c>
      <c r="K221" t="str">
        <f>TEXT(Table1[[#This Row],[Order Date]], "MMM")</f>
        <v>Mar</v>
      </c>
    </row>
    <row r="222" spans="1:11">
      <c r="A222">
        <v>1876</v>
      </c>
      <c r="B222" s="4" t="s">
        <v>104</v>
      </c>
      <c r="C222" t="s">
        <v>27</v>
      </c>
      <c r="D222" t="s">
        <v>25</v>
      </c>
      <c r="E222" s="8">
        <v>1614</v>
      </c>
      <c r="F222" s="8">
        <v>45</v>
      </c>
      <c r="G222" t="s">
        <v>30</v>
      </c>
      <c r="H222" t="s">
        <v>15</v>
      </c>
      <c r="I222">
        <f>F222/E222</f>
        <v>2.7881040892193308E-2</v>
      </c>
      <c r="J222">
        <f>YEAR(Table1[[#This Row],[Order Date]])</f>
        <v>2023</v>
      </c>
      <c r="K222" t="str">
        <f>TEXT(Table1[[#This Row],[Order Date]], "MMM")</f>
        <v>Mar</v>
      </c>
    </row>
    <row r="223" spans="1:11">
      <c r="A223">
        <v>1966</v>
      </c>
      <c r="B223" s="4" t="s">
        <v>104</v>
      </c>
      <c r="C223" t="s">
        <v>27</v>
      </c>
      <c r="D223" t="s">
        <v>22</v>
      </c>
      <c r="E223" s="8">
        <v>4592</v>
      </c>
      <c r="F223" s="8">
        <v>520</v>
      </c>
      <c r="G223" t="s">
        <v>14</v>
      </c>
      <c r="H223" t="s">
        <v>19</v>
      </c>
      <c r="I223">
        <f>F223/E223</f>
        <v>0.1132404181184669</v>
      </c>
      <c r="J223">
        <f>YEAR(Table1[[#This Row],[Order Date]])</f>
        <v>2023</v>
      </c>
      <c r="K223" t="str">
        <f>TEXT(Table1[[#This Row],[Order Date]], "MMM")</f>
        <v>Mar</v>
      </c>
    </row>
    <row r="224" spans="1:11">
      <c r="A224">
        <v>1255</v>
      </c>
      <c r="B224" s="4" t="s">
        <v>105</v>
      </c>
      <c r="C224" t="s">
        <v>24</v>
      </c>
      <c r="D224" t="s">
        <v>13</v>
      </c>
      <c r="E224" s="8">
        <v>3675</v>
      </c>
      <c r="F224" s="8">
        <v>261</v>
      </c>
      <c r="G224" t="s">
        <v>23</v>
      </c>
      <c r="H224" t="s">
        <v>19</v>
      </c>
      <c r="I224">
        <f>F224/E224</f>
        <v>7.1020408163265311E-2</v>
      </c>
      <c r="J224">
        <f>YEAR(Table1[[#This Row],[Order Date]])</f>
        <v>2023</v>
      </c>
      <c r="K224" t="str">
        <f>TEXT(Table1[[#This Row],[Order Date]], "MMM")</f>
        <v>Mar</v>
      </c>
    </row>
    <row r="225" spans="1:11">
      <c r="A225">
        <v>1550</v>
      </c>
      <c r="B225" s="4" t="s">
        <v>105</v>
      </c>
      <c r="C225" t="s">
        <v>24</v>
      </c>
      <c r="D225" t="s">
        <v>22</v>
      </c>
      <c r="E225" s="8">
        <v>4042</v>
      </c>
      <c r="F225" s="8">
        <v>455</v>
      </c>
      <c r="G225" t="s">
        <v>30</v>
      </c>
      <c r="H225" t="s">
        <v>15</v>
      </c>
      <c r="I225">
        <f>F225/E225</f>
        <v>0.11256803562592776</v>
      </c>
      <c r="J225">
        <f>YEAR(Table1[[#This Row],[Order Date]])</f>
        <v>2023</v>
      </c>
      <c r="K225" t="str">
        <f>TEXT(Table1[[#This Row],[Order Date]], "MMM")</f>
        <v>Mar</v>
      </c>
    </row>
    <row r="226" spans="1:11">
      <c r="A226">
        <v>1622</v>
      </c>
      <c r="B226" s="4" t="s">
        <v>105</v>
      </c>
      <c r="C226" t="s">
        <v>27</v>
      </c>
      <c r="D226" t="s">
        <v>25</v>
      </c>
      <c r="E226" s="8">
        <v>2341</v>
      </c>
      <c r="F226" s="8">
        <v>305</v>
      </c>
      <c r="G226" t="s">
        <v>30</v>
      </c>
      <c r="H226" t="s">
        <v>15</v>
      </c>
      <c r="I226">
        <f>F226/E226</f>
        <v>0.13028620247757369</v>
      </c>
      <c r="J226">
        <f>YEAR(Table1[[#This Row],[Order Date]])</f>
        <v>2023</v>
      </c>
      <c r="K226" t="str">
        <f>TEXT(Table1[[#This Row],[Order Date]], "MMM")</f>
        <v>Mar</v>
      </c>
    </row>
    <row r="227" spans="1:11">
      <c r="A227">
        <v>1816</v>
      </c>
      <c r="B227" s="4" t="s">
        <v>105</v>
      </c>
      <c r="C227" t="s">
        <v>27</v>
      </c>
      <c r="D227" t="s">
        <v>25</v>
      </c>
      <c r="E227" s="8">
        <v>2674</v>
      </c>
      <c r="F227" s="8">
        <v>673</v>
      </c>
      <c r="G227" t="s">
        <v>18</v>
      </c>
      <c r="H227" t="s">
        <v>15</v>
      </c>
      <c r="I227">
        <f>F227/E227</f>
        <v>0.25168287210172025</v>
      </c>
      <c r="J227">
        <f>YEAR(Table1[[#This Row],[Order Date]])</f>
        <v>2023</v>
      </c>
      <c r="K227" t="str">
        <f>TEXT(Table1[[#This Row],[Order Date]], "MMM")</f>
        <v>Mar</v>
      </c>
    </row>
    <row r="228" spans="1:11">
      <c r="A228">
        <v>1833</v>
      </c>
      <c r="B228" s="4" t="s">
        <v>105</v>
      </c>
      <c r="C228" t="s">
        <v>21</v>
      </c>
      <c r="D228" t="s">
        <v>22</v>
      </c>
      <c r="E228" s="8">
        <v>3346</v>
      </c>
      <c r="F228" s="8">
        <v>48</v>
      </c>
      <c r="G228" t="s">
        <v>30</v>
      </c>
      <c r="H228" t="s">
        <v>15</v>
      </c>
      <c r="I228">
        <f>F228/E228</f>
        <v>1.434548714883443E-2</v>
      </c>
      <c r="J228">
        <f>YEAR(Table1[[#This Row],[Order Date]])</f>
        <v>2023</v>
      </c>
      <c r="K228" t="str">
        <f>TEXT(Table1[[#This Row],[Order Date]], "MMM")</f>
        <v>Mar</v>
      </c>
    </row>
    <row r="229" spans="1:11">
      <c r="A229">
        <v>1969</v>
      </c>
      <c r="B229" s="4" t="s">
        <v>105</v>
      </c>
      <c r="C229" t="s">
        <v>21</v>
      </c>
      <c r="D229" t="s">
        <v>13</v>
      </c>
      <c r="E229" s="8">
        <v>1791</v>
      </c>
      <c r="F229" s="8">
        <v>255</v>
      </c>
      <c r="G229" t="s">
        <v>30</v>
      </c>
      <c r="H229" t="s">
        <v>15</v>
      </c>
      <c r="I229">
        <f>F229/E229</f>
        <v>0.14237855946398659</v>
      </c>
      <c r="J229">
        <f>YEAR(Table1[[#This Row],[Order Date]])</f>
        <v>2023</v>
      </c>
      <c r="K229" t="str">
        <f>TEXT(Table1[[#This Row],[Order Date]], "MMM")</f>
        <v>Mar</v>
      </c>
    </row>
    <row r="230" spans="1:11">
      <c r="A230">
        <v>1101</v>
      </c>
      <c r="B230" s="4" t="s">
        <v>106</v>
      </c>
      <c r="C230" t="s">
        <v>24</v>
      </c>
      <c r="D230" t="s">
        <v>22</v>
      </c>
      <c r="E230" s="8">
        <v>4699</v>
      </c>
      <c r="F230" s="8">
        <v>559</v>
      </c>
      <c r="G230" t="s">
        <v>30</v>
      </c>
      <c r="H230" t="s">
        <v>19</v>
      </c>
      <c r="I230">
        <f>F230/E230</f>
        <v>0.11896148116620557</v>
      </c>
      <c r="J230">
        <f>YEAR(Table1[[#This Row],[Order Date]])</f>
        <v>2023</v>
      </c>
      <c r="K230" t="str">
        <f>TEXT(Table1[[#This Row],[Order Date]], "MMM")</f>
        <v>Mar</v>
      </c>
    </row>
    <row r="231" spans="1:11">
      <c r="A231">
        <v>1114</v>
      </c>
      <c r="B231" s="4" t="s">
        <v>106</v>
      </c>
      <c r="C231" t="s">
        <v>12</v>
      </c>
      <c r="D231" t="s">
        <v>22</v>
      </c>
      <c r="E231" s="8">
        <v>4808</v>
      </c>
      <c r="F231" s="8">
        <v>949</v>
      </c>
      <c r="G231" t="s">
        <v>30</v>
      </c>
      <c r="H231" t="s">
        <v>19</v>
      </c>
      <c r="I231">
        <f>F231/E231</f>
        <v>0.19737936772046588</v>
      </c>
      <c r="J231">
        <f>YEAR(Table1[[#This Row],[Order Date]])</f>
        <v>2023</v>
      </c>
      <c r="K231" t="str">
        <f>TEXT(Table1[[#This Row],[Order Date]], "MMM")</f>
        <v>Mar</v>
      </c>
    </row>
    <row r="232" spans="1:11">
      <c r="A232">
        <v>1174</v>
      </c>
      <c r="B232" s="4" t="s">
        <v>106</v>
      </c>
      <c r="C232" t="s">
        <v>21</v>
      </c>
      <c r="D232" t="s">
        <v>22</v>
      </c>
      <c r="E232" s="8">
        <v>2706</v>
      </c>
      <c r="F232" s="8">
        <v>987</v>
      </c>
      <c r="G232" t="s">
        <v>18</v>
      </c>
      <c r="H232" t="s">
        <v>15</v>
      </c>
      <c r="I232">
        <f>F232/E232</f>
        <v>0.3647450110864745</v>
      </c>
      <c r="J232">
        <f>YEAR(Table1[[#This Row],[Order Date]])</f>
        <v>2023</v>
      </c>
      <c r="K232" t="str">
        <f>TEXT(Table1[[#This Row],[Order Date]], "MMM")</f>
        <v>Mar</v>
      </c>
    </row>
    <row r="233" spans="1:11">
      <c r="A233">
        <v>1932</v>
      </c>
      <c r="B233" s="4" t="s">
        <v>107</v>
      </c>
      <c r="C233" t="s">
        <v>12</v>
      </c>
      <c r="D233" t="s">
        <v>13</v>
      </c>
      <c r="E233" s="8">
        <v>4994</v>
      </c>
      <c r="F233" s="8">
        <v>958</v>
      </c>
      <c r="G233" t="s">
        <v>18</v>
      </c>
      <c r="H233" t="s">
        <v>15</v>
      </c>
      <c r="I233">
        <f>F233/E233</f>
        <v>0.19183019623548259</v>
      </c>
      <c r="J233">
        <f>YEAR(Table1[[#This Row],[Order Date]])</f>
        <v>2023</v>
      </c>
      <c r="K233" t="str">
        <f>TEXT(Table1[[#This Row],[Order Date]], "MMM")</f>
        <v>Mar</v>
      </c>
    </row>
    <row r="234" spans="1:11">
      <c r="A234">
        <v>1338</v>
      </c>
      <c r="B234" s="4" t="s">
        <v>108</v>
      </c>
      <c r="C234" t="s">
        <v>29</v>
      </c>
      <c r="D234" t="s">
        <v>22</v>
      </c>
      <c r="E234" s="8">
        <v>678</v>
      </c>
      <c r="F234" s="8">
        <v>486</v>
      </c>
      <c r="G234" t="s">
        <v>23</v>
      </c>
      <c r="H234" t="s">
        <v>15</v>
      </c>
      <c r="I234">
        <f>F234/E234</f>
        <v>0.7168141592920354</v>
      </c>
      <c r="J234">
        <f>YEAR(Table1[[#This Row],[Order Date]])</f>
        <v>2023</v>
      </c>
      <c r="K234" t="str">
        <f>TEXT(Table1[[#This Row],[Order Date]], "MMM")</f>
        <v>Mar</v>
      </c>
    </row>
    <row r="235" spans="1:11">
      <c r="A235">
        <v>1608</v>
      </c>
      <c r="B235" s="4" t="s">
        <v>108</v>
      </c>
      <c r="C235" t="s">
        <v>28</v>
      </c>
      <c r="D235" t="s">
        <v>22</v>
      </c>
      <c r="E235" s="8">
        <v>1307</v>
      </c>
      <c r="F235" s="8">
        <v>55</v>
      </c>
      <c r="G235" t="s">
        <v>18</v>
      </c>
      <c r="H235" t="s">
        <v>15</v>
      </c>
      <c r="I235">
        <f>F235/E235</f>
        <v>4.2081101759755164E-2</v>
      </c>
      <c r="J235">
        <f>YEAR(Table1[[#This Row],[Order Date]])</f>
        <v>2023</v>
      </c>
      <c r="K235" t="str">
        <f>TEXT(Table1[[#This Row],[Order Date]], "MMM")</f>
        <v>Mar</v>
      </c>
    </row>
    <row r="236" spans="1:11">
      <c r="A236">
        <v>1818</v>
      </c>
      <c r="B236" s="4" t="s">
        <v>108</v>
      </c>
      <c r="C236" t="s">
        <v>17</v>
      </c>
      <c r="D236" t="s">
        <v>22</v>
      </c>
      <c r="E236" s="8">
        <v>873</v>
      </c>
      <c r="F236" s="8">
        <v>350</v>
      </c>
      <c r="G236" t="s">
        <v>14</v>
      </c>
      <c r="H236" t="s">
        <v>19</v>
      </c>
      <c r="I236">
        <f>F236/E236</f>
        <v>0.40091638029782362</v>
      </c>
      <c r="J236">
        <f>YEAR(Table1[[#This Row],[Order Date]])</f>
        <v>2023</v>
      </c>
      <c r="K236" t="str">
        <f>TEXT(Table1[[#This Row],[Order Date]], "MMM")</f>
        <v>Mar</v>
      </c>
    </row>
    <row r="237" spans="1:11">
      <c r="A237">
        <v>1366</v>
      </c>
      <c r="B237" s="4" t="s">
        <v>109</v>
      </c>
      <c r="C237" t="s">
        <v>12</v>
      </c>
      <c r="D237" t="s">
        <v>25</v>
      </c>
      <c r="E237" s="8">
        <v>344</v>
      </c>
      <c r="F237" s="8">
        <v>337</v>
      </c>
      <c r="G237" t="s">
        <v>30</v>
      </c>
      <c r="H237" t="s">
        <v>19</v>
      </c>
      <c r="I237">
        <f>F237/E237</f>
        <v>0.97965116279069764</v>
      </c>
      <c r="J237">
        <f>YEAR(Table1[[#This Row],[Order Date]])</f>
        <v>2023</v>
      </c>
      <c r="K237" t="str">
        <f>TEXT(Table1[[#This Row],[Order Date]], "MMM")</f>
        <v>Mar</v>
      </c>
    </row>
    <row r="238" spans="1:11">
      <c r="A238">
        <v>1614</v>
      </c>
      <c r="B238" s="4" t="s">
        <v>109</v>
      </c>
      <c r="C238" t="s">
        <v>29</v>
      </c>
      <c r="D238" t="s">
        <v>22</v>
      </c>
      <c r="E238" s="8">
        <v>2207</v>
      </c>
      <c r="F238" s="8">
        <v>612</v>
      </c>
      <c r="G238" t="s">
        <v>14</v>
      </c>
      <c r="H238" t="s">
        <v>15</v>
      </c>
      <c r="I238">
        <f>F238/E238</f>
        <v>0.27729950158586314</v>
      </c>
      <c r="J238">
        <f>YEAR(Table1[[#This Row],[Order Date]])</f>
        <v>2023</v>
      </c>
      <c r="K238" t="str">
        <f>TEXT(Table1[[#This Row],[Order Date]], "MMM")</f>
        <v>Mar</v>
      </c>
    </row>
    <row r="239" spans="1:11">
      <c r="A239">
        <v>1303</v>
      </c>
      <c r="B239" s="4" t="s">
        <v>110</v>
      </c>
      <c r="C239" t="s">
        <v>12</v>
      </c>
      <c r="D239" t="s">
        <v>13</v>
      </c>
      <c r="E239" s="8">
        <v>4724</v>
      </c>
      <c r="F239" s="8">
        <v>102</v>
      </c>
      <c r="G239" t="s">
        <v>14</v>
      </c>
      <c r="H239" t="s">
        <v>19</v>
      </c>
      <c r="I239">
        <f>F239/E239</f>
        <v>2.1591871295512276E-2</v>
      </c>
      <c r="J239">
        <f>YEAR(Table1[[#This Row],[Order Date]])</f>
        <v>2023</v>
      </c>
      <c r="K239" t="str">
        <f>TEXT(Table1[[#This Row],[Order Date]], "MMM")</f>
        <v>Mar</v>
      </c>
    </row>
    <row r="240" spans="1:11">
      <c r="A240">
        <v>1426</v>
      </c>
      <c r="B240" s="4" t="s">
        <v>110</v>
      </c>
      <c r="C240" t="s">
        <v>28</v>
      </c>
      <c r="D240" t="s">
        <v>25</v>
      </c>
      <c r="E240" s="8">
        <v>458</v>
      </c>
      <c r="F240" s="8">
        <v>624</v>
      </c>
      <c r="G240" t="s">
        <v>18</v>
      </c>
      <c r="H240" t="s">
        <v>19</v>
      </c>
      <c r="I240">
        <f>F240/E240</f>
        <v>1.3624454148471616</v>
      </c>
      <c r="J240">
        <f>YEAR(Table1[[#This Row],[Order Date]])</f>
        <v>2023</v>
      </c>
      <c r="K240" t="str">
        <f>TEXT(Table1[[#This Row],[Order Date]], "MMM")</f>
        <v>Mar</v>
      </c>
    </row>
    <row r="241" spans="1:11">
      <c r="A241">
        <v>1747</v>
      </c>
      <c r="B241" s="4" t="s">
        <v>110</v>
      </c>
      <c r="C241" t="s">
        <v>17</v>
      </c>
      <c r="D241" t="s">
        <v>25</v>
      </c>
      <c r="E241" s="8">
        <v>403</v>
      </c>
      <c r="F241" s="8">
        <v>583</v>
      </c>
      <c r="G241" t="s">
        <v>30</v>
      </c>
      <c r="H241" t="s">
        <v>19</v>
      </c>
      <c r="I241">
        <f>F241/E241</f>
        <v>1.4466501240694789</v>
      </c>
      <c r="J241">
        <f>YEAR(Table1[[#This Row],[Order Date]])</f>
        <v>2023</v>
      </c>
      <c r="K241" t="str">
        <f>TEXT(Table1[[#This Row],[Order Date]], "MMM")</f>
        <v>Mar</v>
      </c>
    </row>
    <row r="242" spans="1:11">
      <c r="A242">
        <v>1904</v>
      </c>
      <c r="B242" s="4" t="s">
        <v>110</v>
      </c>
      <c r="C242" t="s">
        <v>17</v>
      </c>
      <c r="D242" t="s">
        <v>25</v>
      </c>
      <c r="E242" s="8">
        <v>2860</v>
      </c>
      <c r="F242" s="8">
        <v>518</v>
      </c>
      <c r="G242" t="s">
        <v>18</v>
      </c>
      <c r="H242" t="s">
        <v>19</v>
      </c>
      <c r="I242">
        <f>F242/E242</f>
        <v>0.18111888111888111</v>
      </c>
      <c r="J242">
        <f>YEAR(Table1[[#This Row],[Order Date]])</f>
        <v>2023</v>
      </c>
      <c r="K242" t="str">
        <f>TEXT(Table1[[#This Row],[Order Date]], "MMM")</f>
        <v>Mar</v>
      </c>
    </row>
    <row r="243" spans="1:11">
      <c r="A243">
        <v>1953</v>
      </c>
      <c r="B243" s="4" t="s">
        <v>110</v>
      </c>
      <c r="C243" t="s">
        <v>21</v>
      </c>
      <c r="D243" t="s">
        <v>25</v>
      </c>
      <c r="E243" s="8">
        <v>3075</v>
      </c>
      <c r="F243" s="8">
        <v>831</v>
      </c>
      <c r="G243" t="s">
        <v>18</v>
      </c>
      <c r="H243" t="s">
        <v>19</v>
      </c>
      <c r="I243">
        <f>F243/E243</f>
        <v>0.27024390243902441</v>
      </c>
      <c r="J243">
        <f>YEAR(Table1[[#This Row],[Order Date]])</f>
        <v>2023</v>
      </c>
      <c r="K243" t="str">
        <f>TEXT(Table1[[#This Row],[Order Date]], "MMM")</f>
        <v>Mar</v>
      </c>
    </row>
    <row r="244" spans="1:11">
      <c r="A244">
        <v>1011</v>
      </c>
      <c r="B244" s="4" t="s">
        <v>111</v>
      </c>
      <c r="C244" t="s">
        <v>12</v>
      </c>
      <c r="D244" t="s">
        <v>22</v>
      </c>
      <c r="E244" s="8">
        <v>2147</v>
      </c>
      <c r="F244" s="8">
        <v>25</v>
      </c>
      <c r="G244" t="s">
        <v>30</v>
      </c>
      <c r="H244" t="s">
        <v>15</v>
      </c>
      <c r="I244">
        <f>F244/E244</f>
        <v>1.1644154634373545E-2</v>
      </c>
      <c r="J244">
        <f>YEAR(Table1[[#This Row],[Order Date]])</f>
        <v>2023</v>
      </c>
      <c r="K244" t="str">
        <f>TEXT(Table1[[#This Row],[Order Date]], "MMM")</f>
        <v>Apr</v>
      </c>
    </row>
    <row r="245" spans="1:11">
      <c r="A245">
        <v>1589</v>
      </c>
      <c r="B245" s="4" t="s">
        <v>111</v>
      </c>
      <c r="C245" t="s">
        <v>27</v>
      </c>
      <c r="D245" t="s">
        <v>22</v>
      </c>
      <c r="E245" s="8">
        <v>1815</v>
      </c>
      <c r="F245" s="8">
        <v>910</v>
      </c>
      <c r="G245" t="s">
        <v>14</v>
      </c>
      <c r="H245" t="s">
        <v>15</v>
      </c>
      <c r="I245">
        <f>F245/E245</f>
        <v>0.50137741046831952</v>
      </c>
      <c r="J245">
        <f>YEAR(Table1[[#This Row],[Order Date]])</f>
        <v>2023</v>
      </c>
      <c r="K245" t="str">
        <f>TEXT(Table1[[#This Row],[Order Date]], "MMM")</f>
        <v>Apr</v>
      </c>
    </row>
    <row r="246" spans="1:11">
      <c r="A246">
        <v>1831</v>
      </c>
      <c r="B246" s="4" t="s">
        <v>111</v>
      </c>
      <c r="C246" t="s">
        <v>29</v>
      </c>
      <c r="D246" t="s">
        <v>22</v>
      </c>
      <c r="E246" s="8">
        <v>3258</v>
      </c>
      <c r="F246" s="8">
        <v>888</v>
      </c>
      <c r="G246" t="s">
        <v>23</v>
      </c>
      <c r="H246" t="s">
        <v>15</v>
      </c>
      <c r="I246">
        <f>F246/E246</f>
        <v>0.27255985267034993</v>
      </c>
      <c r="J246">
        <f>YEAR(Table1[[#This Row],[Order Date]])</f>
        <v>2023</v>
      </c>
      <c r="K246" t="str">
        <f>TEXT(Table1[[#This Row],[Order Date]], "MMM")</f>
        <v>Apr</v>
      </c>
    </row>
    <row r="247" spans="1:11">
      <c r="A247">
        <v>1507</v>
      </c>
      <c r="B247" s="4" t="s">
        <v>112</v>
      </c>
      <c r="C247" t="s">
        <v>29</v>
      </c>
      <c r="D247" t="s">
        <v>25</v>
      </c>
      <c r="E247" s="8">
        <v>692</v>
      </c>
      <c r="F247" s="8">
        <v>660</v>
      </c>
      <c r="G247" t="s">
        <v>30</v>
      </c>
      <c r="H247" t="s">
        <v>19</v>
      </c>
      <c r="I247">
        <f>F247/E247</f>
        <v>0.95375722543352603</v>
      </c>
      <c r="J247">
        <f>YEAR(Table1[[#This Row],[Order Date]])</f>
        <v>2023</v>
      </c>
      <c r="K247" t="str">
        <f>TEXT(Table1[[#This Row],[Order Date]], "MMM")</f>
        <v>Apr</v>
      </c>
    </row>
    <row r="248" spans="1:11">
      <c r="A248">
        <v>1965</v>
      </c>
      <c r="B248" s="4" t="s">
        <v>112</v>
      </c>
      <c r="C248" t="s">
        <v>12</v>
      </c>
      <c r="D248" t="s">
        <v>13</v>
      </c>
      <c r="E248" s="8">
        <v>4464</v>
      </c>
      <c r="F248" s="8">
        <v>756</v>
      </c>
      <c r="G248" t="s">
        <v>18</v>
      </c>
      <c r="H248" t="s">
        <v>19</v>
      </c>
      <c r="I248">
        <f>F248/E248</f>
        <v>0.16935483870967741</v>
      </c>
      <c r="J248">
        <f>YEAR(Table1[[#This Row],[Order Date]])</f>
        <v>2023</v>
      </c>
      <c r="K248" t="str">
        <f>TEXT(Table1[[#This Row],[Order Date]], "MMM")</f>
        <v>Apr</v>
      </c>
    </row>
    <row r="249" spans="1:11">
      <c r="A249">
        <v>1010</v>
      </c>
      <c r="B249" s="4" t="s">
        <v>113</v>
      </c>
      <c r="C249" t="s">
        <v>17</v>
      </c>
      <c r="D249" t="s">
        <v>22</v>
      </c>
      <c r="E249" s="8">
        <v>882</v>
      </c>
      <c r="F249" s="8">
        <v>967</v>
      </c>
      <c r="G249" t="s">
        <v>23</v>
      </c>
      <c r="H249" t="s">
        <v>15</v>
      </c>
      <c r="I249">
        <f>F249/E249</f>
        <v>1.0963718820861679</v>
      </c>
      <c r="J249">
        <f>YEAR(Table1[[#This Row],[Order Date]])</f>
        <v>2023</v>
      </c>
      <c r="K249" t="str">
        <f>TEXT(Table1[[#This Row],[Order Date]], "MMM")</f>
        <v>Apr</v>
      </c>
    </row>
    <row r="250" spans="1:11">
      <c r="A250">
        <v>1144</v>
      </c>
      <c r="B250" s="4" t="s">
        <v>113</v>
      </c>
      <c r="C250" t="s">
        <v>17</v>
      </c>
      <c r="D250" t="s">
        <v>13</v>
      </c>
      <c r="E250" s="8">
        <v>4540</v>
      </c>
      <c r="F250" s="8">
        <v>81</v>
      </c>
      <c r="G250" t="s">
        <v>30</v>
      </c>
      <c r="H250" t="s">
        <v>15</v>
      </c>
      <c r="I250">
        <f>F250/E250</f>
        <v>1.7841409691629957E-2</v>
      </c>
      <c r="J250">
        <f>YEAR(Table1[[#This Row],[Order Date]])</f>
        <v>2023</v>
      </c>
      <c r="K250" t="str">
        <f>TEXT(Table1[[#This Row],[Order Date]], "MMM")</f>
        <v>Apr</v>
      </c>
    </row>
    <row r="251" spans="1:11">
      <c r="A251">
        <v>1483</v>
      </c>
      <c r="B251" s="4" t="s">
        <v>113</v>
      </c>
      <c r="C251" t="s">
        <v>28</v>
      </c>
      <c r="D251" t="s">
        <v>25</v>
      </c>
      <c r="E251" s="8">
        <v>4837</v>
      </c>
      <c r="F251" s="8">
        <v>697</v>
      </c>
      <c r="G251" t="s">
        <v>30</v>
      </c>
      <c r="H251" t="s">
        <v>19</v>
      </c>
      <c r="I251">
        <f>F251/E251</f>
        <v>0.14409758114533802</v>
      </c>
      <c r="J251">
        <f>YEAR(Table1[[#This Row],[Order Date]])</f>
        <v>2023</v>
      </c>
      <c r="K251" t="str">
        <f>TEXT(Table1[[#This Row],[Order Date]], "MMM")</f>
        <v>Apr</v>
      </c>
    </row>
    <row r="252" spans="1:11">
      <c r="A252">
        <v>1805</v>
      </c>
      <c r="B252" s="4" t="s">
        <v>113</v>
      </c>
      <c r="C252" t="s">
        <v>21</v>
      </c>
      <c r="D252" t="s">
        <v>13</v>
      </c>
      <c r="E252" s="8">
        <v>3119</v>
      </c>
      <c r="F252" s="8">
        <v>718</v>
      </c>
      <c r="G252" t="s">
        <v>23</v>
      </c>
      <c r="H252" t="s">
        <v>19</v>
      </c>
      <c r="I252">
        <f>F252/E252</f>
        <v>0.23020198781660789</v>
      </c>
      <c r="J252">
        <f>YEAR(Table1[[#This Row],[Order Date]])</f>
        <v>2023</v>
      </c>
      <c r="K252" t="str">
        <f>TEXT(Table1[[#This Row],[Order Date]], "MMM")</f>
        <v>Apr</v>
      </c>
    </row>
    <row r="253" spans="1:11">
      <c r="A253">
        <v>1385</v>
      </c>
      <c r="B253" s="4" t="s">
        <v>114</v>
      </c>
      <c r="C253" t="s">
        <v>28</v>
      </c>
      <c r="D253" t="s">
        <v>13</v>
      </c>
      <c r="E253" s="8">
        <v>2938</v>
      </c>
      <c r="F253" s="8">
        <v>432</v>
      </c>
      <c r="G253" t="s">
        <v>30</v>
      </c>
      <c r="H253" t="s">
        <v>19</v>
      </c>
      <c r="I253">
        <f>F253/E253</f>
        <v>0.14703880190605853</v>
      </c>
      <c r="J253">
        <f>YEAR(Table1[[#This Row],[Order Date]])</f>
        <v>2023</v>
      </c>
      <c r="K253" t="str">
        <f>TEXT(Table1[[#This Row],[Order Date]], "MMM")</f>
        <v>Apr</v>
      </c>
    </row>
    <row r="254" spans="1:11">
      <c r="A254">
        <v>1194</v>
      </c>
      <c r="B254" s="4" t="s">
        <v>115</v>
      </c>
      <c r="C254" t="s">
        <v>29</v>
      </c>
      <c r="D254" t="s">
        <v>25</v>
      </c>
      <c r="E254" s="8">
        <v>2890</v>
      </c>
      <c r="F254" s="8">
        <v>97</v>
      </c>
      <c r="G254" t="s">
        <v>23</v>
      </c>
      <c r="H254" t="s">
        <v>15</v>
      </c>
      <c r="I254">
        <f>F254/E254</f>
        <v>3.3564013840830451E-2</v>
      </c>
      <c r="J254">
        <f>YEAR(Table1[[#This Row],[Order Date]])</f>
        <v>2023</v>
      </c>
      <c r="K254" t="str">
        <f>TEXT(Table1[[#This Row],[Order Date]], "MMM")</f>
        <v>Apr</v>
      </c>
    </row>
    <row r="255" spans="1:11">
      <c r="A255">
        <v>1432</v>
      </c>
      <c r="B255" s="4" t="s">
        <v>115</v>
      </c>
      <c r="C255" t="s">
        <v>17</v>
      </c>
      <c r="D255" t="s">
        <v>22</v>
      </c>
      <c r="E255" s="8">
        <v>1402</v>
      </c>
      <c r="F255" s="8">
        <v>273</v>
      </c>
      <c r="G255" t="s">
        <v>14</v>
      </c>
      <c r="H255" t="s">
        <v>19</v>
      </c>
      <c r="I255">
        <f>F255/E255</f>
        <v>0.19472182596291013</v>
      </c>
      <c r="J255">
        <f>YEAR(Table1[[#This Row],[Order Date]])</f>
        <v>2023</v>
      </c>
      <c r="K255" t="str">
        <f>TEXT(Table1[[#This Row],[Order Date]], "MMM")</f>
        <v>Apr</v>
      </c>
    </row>
    <row r="256" spans="1:11">
      <c r="A256">
        <v>1481</v>
      </c>
      <c r="B256" s="4" t="s">
        <v>115</v>
      </c>
      <c r="C256" t="s">
        <v>24</v>
      </c>
      <c r="D256" t="s">
        <v>13</v>
      </c>
      <c r="E256" s="8">
        <v>3290</v>
      </c>
      <c r="F256" s="8">
        <v>500</v>
      </c>
      <c r="G256" t="s">
        <v>23</v>
      </c>
      <c r="H256" t="s">
        <v>19</v>
      </c>
      <c r="I256">
        <f>F256/E256</f>
        <v>0.1519756838905775</v>
      </c>
      <c r="J256">
        <f>YEAR(Table1[[#This Row],[Order Date]])</f>
        <v>2023</v>
      </c>
      <c r="K256" t="str">
        <f>TEXT(Table1[[#This Row],[Order Date]], "MMM")</f>
        <v>Apr</v>
      </c>
    </row>
    <row r="257" spans="1:11">
      <c r="A257">
        <v>1710</v>
      </c>
      <c r="B257" s="4" t="s">
        <v>115</v>
      </c>
      <c r="C257" t="s">
        <v>28</v>
      </c>
      <c r="D257" t="s">
        <v>22</v>
      </c>
      <c r="E257" s="8">
        <v>447</v>
      </c>
      <c r="F257" s="8">
        <v>283</v>
      </c>
      <c r="G257" t="s">
        <v>18</v>
      </c>
      <c r="H257" t="s">
        <v>15</v>
      </c>
      <c r="I257">
        <f>F257/E257</f>
        <v>0.63310961968680091</v>
      </c>
      <c r="J257">
        <f>YEAR(Table1[[#This Row],[Order Date]])</f>
        <v>2023</v>
      </c>
      <c r="K257" t="str">
        <f>TEXT(Table1[[#This Row],[Order Date]], "MMM")</f>
        <v>Apr</v>
      </c>
    </row>
    <row r="258" spans="1:11">
      <c r="A258">
        <v>1807</v>
      </c>
      <c r="B258" s="4" t="s">
        <v>115</v>
      </c>
      <c r="C258" t="s">
        <v>29</v>
      </c>
      <c r="D258" t="s">
        <v>13</v>
      </c>
      <c r="E258" s="8">
        <v>4767</v>
      </c>
      <c r="F258" s="8">
        <v>136</v>
      </c>
      <c r="G258" t="s">
        <v>18</v>
      </c>
      <c r="H258" t="s">
        <v>19</v>
      </c>
      <c r="I258">
        <f>F258/E258</f>
        <v>2.852947346339417E-2</v>
      </c>
      <c r="J258">
        <f>YEAR(Table1[[#This Row],[Order Date]])</f>
        <v>2023</v>
      </c>
      <c r="K258" t="str">
        <f>TEXT(Table1[[#This Row],[Order Date]], "MMM")</f>
        <v>Apr</v>
      </c>
    </row>
    <row r="259" spans="1:11">
      <c r="A259">
        <v>1333</v>
      </c>
      <c r="B259" s="4" t="s">
        <v>116</v>
      </c>
      <c r="C259" t="s">
        <v>27</v>
      </c>
      <c r="D259" t="s">
        <v>25</v>
      </c>
      <c r="E259" s="8">
        <v>3413</v>
      </c>
      <c r="F259" s="8">
        <v>390</v>
      </c>
      <c r="G259" t="s">
        <v>23</v>
      </c>
      <c r="H259" t="s">
        <v>19</v>
      </c>
      <c r="I259">
        <f>F259/E259</f>
        <v>0.11426897157925579</v>
      </c>
      <c r="J259">
        <f>YEAR(Table1[[#This Row],[Order Date]])</f>
        <v>2023</v>
      </c>
      <c r="K259" t="str">
        <f>TEXT(Table1[[#This Row],[Order Date]], "MMM")</f>
        <v>Apr</v>
      </c>
    </row>
    <row r="260" spans="1:11">
      <c r="A260">
        <v>1922</v>
      </c>
      <c r="B260" s="4" t="s">
        <v>116</v>
      </c>
      <c r="C260" t="s">
        <v>17</v>
      </c>
      <c r="D260" t="s">
        <v>22</v>
      </c>
      <c r="E260" s="8">
        <v>966</v>
      </c>
      <c r="F260" s="8">
        <v>318</v>
      </c>
      <c r="G260" t="s">
        <v>14</v>
      </c>
      <c r="H260" t="s">
        <v>19</v>
      </c>
      <c r="I260">
        <f>F260/E260</f>
        <v>0.32919254658385094</v>
      </c>
      <c r="J260">
        <f>YEAR(Table1[[#This Row],[Order Date]])</f>
        <v>2023</v>
      </c>
      <c r="K260" t="str">
        <f>TEXT(Table1[[#This Row],[Order Date]], "MMM")</f>
        <v>Apr</v>
      </c>
    </row>
    <row r="261" spans="1:11">
      <c r="A261">
        <v>1177</v>
      </c>
      <c r="B261" s="4" t="s">
        <v>117</v>
      </c>
      <c r="C261" t="s">
        <v>21</v>
      </c>
      <c r="D261" t="s">
        <v>22</v>
      </c>
      <c r="E261" s="8">
        <v>4601</v>
      </c>
      <c r="F261" s="8">
        <v>572</v>
      </c>
      <c r="G261" t="s">
        <v>14</v>
      </c>
      <c r="H261" t="s">
        <v>15</v>
      </c>
      <c r="I261">
        <f>F261/E261</f>
        <v>0.12432079982612476</v>
      </c>
      <c r="J261">
        <f>YEAR(Table1[[#This Row],[Order Date]])</f>
        <v>2023</v>
      </c>
      <c r="K261" t="str">
        <f>TEXT(Table1[[#This Row],[Order Date]], "MMM")</f>
        <v>Apr</v>
      </c>
    </row>
    <row r="262" spans="1:11">
      <c r="A262">
        <v>1019</v>
      </c>
      <c r="B262" s="4" t="s">
        <v>118</v>
      </c>
      <c r="C262" t="s">
        <v>17</v>
      </c>
      <c r="D262" t="s">
        <v>13</v>
      </c>
      <c r="E262" s="8">
        <v>4622</v>
      </c>
      <c r="F262" s="8">
        <v>48</v>
      </c>
      <c r="G262" t="s">
        <v>14</v>
      </c>
      <c r="H262" t="s">
        <v>15</v>
      </c>
      <c r="I262">
        <f>F262/E262</f>
        <v>1.038511466897447E-2</v>
      </c>
      <c r="J262">
        <f>YEAR(Table1[[#This Row],[Order Date]])</f>
        <v>2023</v>
      </c>
      <c r="K262" t="str">
        <f>TEXT(Table1[[#This Row],[Order Date]], "MMM")</f>
        <v>Apr</v>
      </c>
    </row>
    <row r="263" spans="1:11">
      <c r="A263">
        <v>1596</v>
      </c>
      <c r="B263" s="4" t="s">
        <v>118</v>
      </c>
      <c r="C263" t="s">
        <v>12</v>
      </c>
      <c r="D263" t="s">
        <v>13</v>
      </c>
      <c r="E263" s="8">
        <v>4506</v>
      </c>
      <c r="F263" s="8">
        <v>899</v>
      </c>
      <c r="G263" t="s">
        <v>14</v>
      </c>
      <c r="H263" t="s">
        <v>15</v>
      </c>
      <c r="I263">
        <f>F263/E263</f>
        <v>0.19951176209498447</v>
      </c>
      <c r="J263">
        <f>YEAR(Table1[[#This Row],[Order Date]])</f>
        <v>2023</v>
      </c>
      <c r="K263" t="str">
        <f>TEXT(Table1[[#This Row],[Order Date]], "MMM")</f>
        <v>Apr</v>
      </c>
    </row>
    <row r="264" spans="1:11">
      <c r="A264">
        <v>1270</v>
      </c>
      <c r="B264" s="4" t="s">
        <v>119</v>
      </c>
      <c r="C264" t="s">
        <v>21</v>
      </c>
      <c r="D264" t="s">
        <v>22</v>
      </c>
      <c r="E264" s="8">
        <v>3677</v>
      </c>
      <c r="F264" s="8">
        <v>962</v>
      </c>
      <c r="G264" t="s">
        <v>14</v>
      </c>
      <c r="H264" t="s">
        <v>15</v>
      </c>
      <c r="I264">
        <f>F264/E264</f>
        <v>0.26162632580908352</v>
      </c>
      <c r="J264">
        <f>YEAR(Table1[[#This Row],[Order Date]])</f>
        <v>2023</v>
      </c>
      <c r="K264" t="str">
        <f>TEXT(Table1[[#This Row],[Order Date]], "MMM")</f>
        <v>Apr</v>
      </c>
    </row>
    <row r="265" spans="1:11">
      <c r="A265">
        <v>1382</v>
      </c>
      <c r="B265" s="4" t="s">
        <v>119</v>
      </c>
      <c r="C265" t="s">
        <v>28</v>
      </c>
      <c r="D265" t="s">
        <v>13</v>
      </c>
      <c r="E265" s="8">
        <v>1570</v>
      </c>
      <c r="F265" s="8">
        <v>911</v>
      </c>
      <c r="G265" t="s">
        <v>23</v>
      </c>
      <c r="H265" t="s">
        <v>19</v>
      </c>
      <c r="I265">
        <f>F265/E265</f>
        <v>0.58025477707006368</v>
      </c>
      <c r="J265">
        <f>YEAR(Table1[[#This Row],[Order Date]])</f>
        <v>2023</v>
      </c>
      <c r="K265" t="str">
        <f>TEXT(Table1[[#This Row],[Order Date]], "MMM")</f>
        <v>Apr</v>
      </c>
    </row>
    <row r="266" spans="1:11">
      <c r="A266">
        <v>1661</v>
      </c>
      <c r="B266" s="4" t="s">
        <v>119</v>
      </c>
      <c r="C266" t="s">
        <v>17</v>
      </c>
      <c r="D266" t="s">
        <v>22</v>
      </c>
      <c r="E266" s="8">
        <v>4391</v>
      </c>
      <c r="F266" s="8">
        <v>818</v>
      </c>
      <c r="G266" t="s">
        <v>30</v>
      </c>
      <c r="H266" t="s">
        <v>19</v>
      </c>
      <c r="I266">
        <f>F266/E266</f>
        <v>0.18629013892051924</v>
      </c>
      <c r="J266">
        <f>YEAR(Table1[[#This Row],[Order Date]])</f>
        <v>2023</v>
      </c>
      <c r="K266" t="str">
        <f>TEXT(Table1[[#This Row],[Order Date]], "MMM")</f>
        <v>Apr</v>
      </c>
    </row>
    <row r="267" spans="1:11">
      <c r="A267">
        <v>1238</v>
      </c>
      <c r="B267" s="4" t="s">
        <v>120</v>
      </c>
      <c r="C267" t="s">
        <v>24</v>
      </c>
      <c r="D267" t="s">
        <v>13</v>
      </c>
      <c r="E267" s="8">
        <v>1959</v>
      </c>
      <c r="F267" s="8">
        <v>59</v>
      </c>
      <c r="G267" t="s">
        <v>14</v>
      </c>
      <c r="H267" t="s">
        <v>15</v>
      </c>
      <c r="I267">
        <f>F267/E267</f>
        <v>3.0117406840224605E-2</v>
      </c>
      <c r="J267">
        <f>YEAR(Table1[[#This Row],[Order Date]])</f>
        <v>2023</v>
      </c>
      <c r="K267" t="str">
        <f>TEXT(Table1[[#This Row],[Order Date]], "MMM")</f>
        <v>Apr</v>
      </c>
    </row>
    <row r="268" spans="1:11">
      <c r="A268">
        <v>1453</v>
      </c>
      <c r="B268" s="4" t="s">
        <v>120</v>
      </c>
      <c r="C268" t="s">
        <v>27</v>
      </c>
      <c r="D268" t="s">
        <v>13</v>
      </c>
      <c r="E268" s="8">
        <v>4717</v>
      </c>
      <c r="F268" s="8">
        <v>144</v>
      </c>
      <c r="G268" t="s">
        <v>18</v>
      </c>
      <c r="H268" t="s">
        <v>15</v>
      </c>
      <c r="I268">
        <f>F268/E268</f>
        <v>3.0527877888488444E-2</v>
      </c>
      <c r="J268">
        <f>YEAR(Table1[[#This Row],[Order Date]])</f>
        <v>2023</v>
      </c>
      <c r="K268" t="str">
        <f>TEXT(Table1[[#This Row],[Order Date]], "MMM")</f>
        <v>Apr</v>
      </c>
    </row>
    <row r="269" spans="1:11">
      <c r="A269">
        <v>1586</v>
      </c>
      <c r="B269" s="4" t="s">
        <v>120</v>
      </c>
      <c r="C269" t="s">
        <v>21</v>
      </c>
      <c r="D269" t="s">
        <v>13</v>
      </c>
      <c r="E269" s="8">
        <v>2116</v>
      </c>
      <c r="F269" s="8">
        <v>162</v>
      </c>
      <c r="G269" t="s">
        <v>18</v>
      </c>
      <c r="H269" t="s">
        <v>15</v>
      </c>
      <c r="I269">
        <f>F269/E269</f>
        <v>7.6559546313799617E-2</v>
      </c>
      <c r="J269">
        <f>YEAR(Table1[[#This Row],[Order Date]])</f>
        <v>2023</v>
      </c>
      <c r="K269" t="str">
        <f>TEXT(Table1[[#This Row],[Order Date]], "MMM")</f>
        <v>Apr</v>
      </c>
    </row>
    <row r="270" spans="1:11">
      <c r="A270">
        <v>1790</v>
      </c>
      <c r="B270" s="4" t="s">
        <v>120</v>
      </c>
      <c r="C270" t="s">
        <v>12</v>
      </c>
      <c r="D270" t="s">
        <v>13</v>
      </c>
      <c r="E270" s="8">
        <v>4304</v>
      </c>
      <c r="F270" s="8">
        <v>222</v>
      </c>
      <c r="G270" t="s">
        <v>30</v>
      </c>
      <c r="H270" t="s">
        <v>15</v>
      </c>
      <c r="I270">
        <f>F270/E270</f>
        <v>5.157992565055762E-2</v>
      </c>
      <c r="J270">
        <f>YEAR(Table1[[#This Row],[Order Date]])</f>
        <v>2023</v>
      </c>
      <c r="K270" t="str">
        <f>TEXT(Table1[[#This Row],[Order Date]], "MMM")</f>
        <v>Apr</v>
      </c>
    </row>
    <row r="271" spans="1:11">
      <c r="A271">
        <v>1871</v>
      </c>
      <c r="B271" s="4" t="s">
        <v>120</v>
      </c>
      <c r="C271" t="s">
        <v>24</v>
      </c>
      <c r="D271" t="s">
        <v>25</v>
      </c>
      <c r="E271" s="8">
        <v>3763</v>
      </c>
      <c r="F271" s="8">
        <v>624</v>
      </c>
      <c r="G271" t="s">
        <v>30</v>
      </c>
      <c r="H271" t="s">
        <v>19</v>
      </c>
      <c r="I271">
        <f>F271/E271</f>
        <v>0.16582513951634334</v>
      </c>
      <c r="J271">
        <f>YEAR(Table1[[#This Row],[Order Date]])</f>
        <v>2023</v>
      </c>
      <c r="K271" t="str">
        <f>TEXT(Table1[[#This Row],[Order Date]], "MMM")</f>
        <v>Apr</v>
      </c>
    </row>
    <row r="272" spans="1:11">
      <c r="A272">
        <v>1357</v>
      </c>
      <c r="B272" s="4" t="s">
        <v>121</v>
      </c>
      <c r="C272" t="s">
        <v>29</v>
      </c>
      <c r="D272" t="s">
        <v>13</v>
      </c>
      <c r="E272" s="8">
        <v>2414</v>
      </c>
      <c r="F272" s="8">
        <v>370</v>
      </c>
      <c r="G272" t="s">
        <v>30</v>
      </c>
      <c r="H272" t="s">
        <v>19</v>
      </c>
      <c r="I272">
        <f>F272/E272</f>
        <v>0.15327257663628832</v>
      </c>
      <c r="J272">
        <f>YEAR(Table1[[#This Row],[Order Date]])</f>
        <v>2023</v>
      </c>
      <c r="K272" t="str">
        <f>TEXT(Table1[[#This Row],[Order Date]], "MMM")</f>
        <v>Apr</v>
      </c>
    </row>
    <row r="273" spans="1:11">
      <c r="A273">
        <v>1411</v>
      </c>
      <c r="B273" s="4" t="s">
        <v>122</v>
      </c>
      <c r="C273" t="s">
        <v>28</v>
      </c>
      <c r="D273" t="s">
        <v>25</v>
      </c>
      <c r="E273" s="8">
        <v>3748</v>
      </c>
      <c r="F273" s="8">
        <v>720</v>
      </c>
      <c r="G273" t="s">
        <v>18</v>
      </c>
      <c r="H273" t="s">
        <v>19</v>
      </c>
      <c r="I273">
        <f>F273/E273</f>
        <v>0.19210245464247599</v>
      </c>
      <c r="J273">
        <f>YEAR(Table1[[#This Row],[Order Date]])</f>
        <v>2023</v>
      </c>
      <c r="K273" t="str">
        <f>TEXT(Table1[[#This Row],[Order Date]], "MMM")</f>
        <v>Apr</v>
      </c>
    </row>
    <row r="274" spans="1:11">
      <c r="A274">
        <v>1677</v>
      </c>
      <c r="B274" s="4" t="s">
        <v>122</v>
      </c>
      <c r="C274" t="s">
        <v>28</v>
      </c>
      <c r="D274" t="s">
        <v>22</v>
      </c>
      <c r="E274" s="8">
        <v>2924</v>
      </c>
      <c r="F274" s="8">
        <v>647</v>
      </c>
      <c r="G274" t="s">
        <v>30</v>
      </c>
      <c r="H274" t="s">
        <v>15</v>
      </c>
      <c r="I274">
        <f>F274/E274</f>
        <v>0.22127222982216141</v>
      </c>
      <c r="J274">
        <f>YEAR(Table1[[#This Row],[Order Date]])</f>
        <v>2023</v>
      </c>
      <c r="K274" t="str">
        <f>TEXT(Table1[[#This Row],[Order Date]], "MMM")</f>
        <v>Apr</v>
      </c>
    </row>
    <row r="275" spans="1:11">
      <c r="A275">
        <v>1800</v>
      </c>
      <c r="B275" s="4" t="s">
        <v>122</v>
      </c>
      <c r="C275" t="s">
        <v>28</v>
      </c>
      <c r="D275" t="s">
        <v>22</v>
      </c>
      <c r="E275" s="8">
        <v>4895</v>
      </c>
      <c r="F275" s="8">
        <v>886</v>
      </c>
      <c r="G275" t="s">
        <v>14</v>
      </c>
      <c r="H275" t="s">
        <v>15</v>
      </c>
      <c r="I275">
        <f>F275/E275</f>
        <v>0.18100102145045965</v>
      </c>
      <c r="J275">
        <f>YEAR(Table1[[#This Row],[Order Date]])</f>
        <v>2023</v>
      </c>
      <c r="K275" t="str">
        <f>TEXT(Table1[[#This Row],[Order Date]], "MMM")</f>
        <v>Apr</v>
      </c>
    </row>
    <row r="276" spans="1:11">
      <c r="A276">
        <v>1568</v>
      </c>
      <c r="B276" s="4" t="s">
        <v>123</v>
      </c>
      <c r="C276" t="s">
        <v>29</v>
      </c>
      <c r="D276" t="s">
        <v>13</v>
      </c>
      <c r="E276" s="8">
        <v>491</v>
      </c>
      <c r="F276" s="8">
        <v>257</v>
      </c>
      <c r="G276" t="s">
        <v>30</v>
      </c>
      <c r="H276" t="s">
        <v>19</v>
      </c>
      <c r="I276">
        <f>F276/E276</f>
        <v>0.52342158859470467</v>
      </c>
      <c r="J276">
        <f>YEAR(Table1[[#This Row],[Order Date]])</f>
        <v>2023</v>
      </c>
      <c r="K276" t="str">
        <f>TEXT(Table1[[#This Row],[Order Date]], "MMM")</f>
        <v>Apr</v>
      </c>
    </row>
    <row r="277" spans="1:11">
      <c r="A277">
        <v>1685</v>
      </c>
      <c r="B277" s="4" t="s">
        <v>123</v>
      </c>
      <c r="C277" t="s">
        <v>12</v>
      </c>
      <c r="D277" t="s">
        <v>22</v>
      </c>
      <c r="E277" s="8">
        <v>109</v>
      </c>
      <c r="F277" s="8">
        <v>999</v>
      </c>
      <c r="G277" t="s">
        <v>18</v>
      </c>
      <c r="H277" t="s">
        <v>19</v>
      </c>
      <c r="I277">
        <f>F277/E277</f>
        <v>9.1651376146788994</v>
      </c>
      <c r="J277">
        <f>YEAR(Table1[[#This Row],[Order Date]])</f>
        <v>2023</v>
      </c>
      <c r="K277" t="str">
        <f>TEXT(Table1[[#This Row],[Order Date]], "MMM")</f>
        <v>Apr</v>
      </c>
    </row>
    <row r="278" spans="1:11">
      <c r="A278">
        <v>1413</v>
      </c>
      <c r="B278" s="4" t="s">
        <v>124</v>
      </c>
      <c r="C278" t="s">
        <v>21</v>
      </c>
      <c r="D278" t="s">
        <v>13</v>
      </c>
      <c r="E278" s="8">
        <v>2794</v>
      </c>
      <c r="F278" s="8">
        <v>1000</v>
      </c>
      <c r="G278" t="s">
        <v>23</v>
      </c>
      <c r="H278" t="s">
        <v>19</v>
      </c>
      <c r="I278">
        <f>F278/E278</f>
        <v>0.35790980672870437</v>
      </c>
      <c r="J278">
        <f>YEAR(Table1[[#This Row],[Order Date]])</f>
        <v>2023</v>
      </c>
      <c r="K278" t="str">
        <f>TEXT(Table1[[#This Row],[Order Date]], "MMM")</f>
        <v>Apr</v>
      </c>
    </row>
    <row r="279" spans="1:11">
      <c r="A279">
        <v>1752</v>
      </c>
      <c r="B279" s="4" t="s">
        <v>124</v>
      </c>
      <c r="C279" t="s">
        <v>28</v>
      </c>
      <c r="D279" t="s">
        <v>25</v>
      </c>
      <c r="E279" s="8">
        <v>2339</v>
      </c>
      <c r="F279" s="8">
        <v>239</v>
      </c>
      <c r="G279" t="s">
        <v>23</v>
      </c>
      <c r="H279" t="s">
        <v>15</v>
      </c>
      <c r="I279">
        <f>F279/E279</f>
        <v>0.10218041898247114</v>
      </c>
      <c r="J279">
        <f>YEAR(Table1[[#This Row],[Order Date]])</f>
        <v>2023</v>
      </c>
      <c r="K279" t="str">
        <f>TEXT(Table1[[#This Row],[Order Date]], "MMM")</f>
        <v>Apr</v>
      </c>
    </row>
    <row r="280" spans="1:11">
      <c r="A280">
        <v>1302</v>
      </c>
      <c r="B280" s="4" t="s">
        <v>125</v>
      </c>
      <c r="C280" t="s">
        <v>12</v>
      </c>
      <c r="D280" t="s">
        <v>13</v>
      </c>
      <c r="E280" s="8">
        <v>3683</v>
      </c>
      <c r="F280" s="8">
        <v>654</v>
      </c>
      <c r="G280" t="s">
        <v>30</v>
      </c>
      <c r="H280" t="s">
        <v>19</v>
      </c>
      <c r="I280">
        <f>F280/E280</f>
        <v>0.17757263100733098</v>
      </c>
      <c r="J280">
        <f>YEAR(Table1[[#This Row],[Order Date]])</f>
        <v>2023</v>
      </c>
      <c r="K280" t="str">
        <f>TEXT(Table1[[#This Row],[Order Date]], "MMM")</f>
        <v>Apr</v>
      </c>
    </row>
    <row r="281" spans="1:11">
      <c r="A281">
        <v>1313</v>
      </c>
      <c r="B281" s="4" t="s">
        <v>125</v>
      </c>
      <c r="C281" t="s">
        <v>12</v>
      </c>
      <c r="D281" t="s">
        <v>25</v>
      </c>
      <c r="E281" s="8">
        <v>3077</v>
      </c>
      <c r="F281" s="8">
        <v>747</v>
      </c>
      <c r="G281" t="s">
        <v>23</v>
      </c>
      <c r="H281" t="s">
        <v>19</v>
      </c>
      <c r="I281">
        <f>F281/E281</f>
        <v>0.24276893077673059</v>
      </c>
      <c r="J281">
        <f>YEAR(Table1[[#This Row],[Order Date]])</f>
        <v>2023</v>
      </c>
      <c r="K281" t="str">
        <f>TEXT(Table1[[#This Row],[Order Date]], "MMM")</f>
        <v>Apr</v>
      </c>
    </row>
    <row r="282" spans="1:11">
      <c r="A282">
        <v>1434</v>
      </c>
      <c r="B282" s="4" t="s">
        <v>125</v>
      </c>
      <c r="C282" t="s">
        <v>12</v>
      </c>
      <c r="D282" t="s">
        <v>25</v>
      </c>
      <c r="E282" s="8">
        <v>2335</v>
      </c>
      <c r="F282" s="8">
        <v>557</v>
      </c>
      <c r="G282" t="s">
        <v>23</v>
      </c>
      <c r="H282" t="s">
        <v>15</v>
      </c>
      <c r="I282">
        <f>F282/E282</f>
        <v>0.23854389721627409</v>
      </c>
      <c r="J282">
        <f>YEAR(Table1[[#This Row],[Order Date]])</f>
        <v>2023</v>
      </c>
      <c r="K282" t="str">
        <f>TEXT(Table1[[#This Row],[Order Date]], "MMM")</f>
        <v>Apr</v>
      </c>
    </row>
    <row r="283" spans="1:11">
      <c r="A283">
        <v>1467</v>
      </c>
      <c r="B283" s="4" t="s">
        <v>125</v>
      </c>
      <c r="C283" t="s">
        <v>12</v>
      </c>
      <c r="D283" t="s">
        <v>22</v>
      </c>
      <c r="E283" s="8">
        <v>2456</v>
      </c>
      <c r="F283" s="8">
        <v>810</v>
      </c>
      <c r="G283" t="s">
        <v>23</v>
      </c>
      <c r="H283" t="s">
        <v>15</v>
      </c>
      <c r="I283">
        <f>F283/E283</f>
        <v>0.3298045602605863</v>
      </c>
      <c r="J283">
        <f>YEAR(Table1[[#This Row],[Order Date]])</f>
        <v>2023</v>
      </c>
      <c r="K283" t="str">
        <f>TEXT(Table1[[#This Row],[Order Date]], "MMM")</f>
        <v>Apr</v>
      </c>
    </row>
    <row r="284" spans="1:11">
      <c r="A284">
        <v>1517</v>
      </c>
      <c r="B284" s="4" t="s">
        <v>125</v>
      </c>
      <c r="C284" t="s">
        <v>17</v>
      </c>
      <c r="D284" t="s">
        <v>22</v>
      </c>
      <c r="E284" s="8">
        <v>4225</v>
      </c>
      <c r="F284" s="8">
        <v>686</v>
      </c>
      <c r="G284" t="s">
        <v>23</v>
      </c>
      <c r="H284" t="s">
        <v>15</v>
      </c>
      <c r="I284">
        <f>F284/E284</f>
        <v>0.16236686390532545</v>
      </c>
      <c r="J284">
        <f>YEAR(Table1[[#This Row],[Order Date]])</f>
        <v>2023</v>
      </c>
      <c r="K284" t="str">
        <f>TEXT(Table1[[#This Row],[Order Date]], "MMM")</f>
        <v>Apr</v>
      </c>
    </row>
    <row r="285" spans="1:11">
      <c r="A285">
        <v>1787</v>
      </c>
      <c r="B285" s="4" t="s">
        <v>125</v>
      </c>
      <c r="C285" t="s">
        <v>17</v>
      </c>
      <c r="D285" t="s">
        <v>25</v>
      </c>
      <c r="E285" s="8">
        <v>698</v>
      </c>
      <c r="F285" s="8">
        <v>435</v>
      </c>
      <c r="G285" t="s">
        <v>23</v>
      </c>
      <c r="H285" t="s">
        <v>15</v>
      </c>
      <c r="I285">
        <f>F285/E285</f>
        <v>0.62320916905444124</v>
      </c>
      <c r="J285">
        <f>YEAR(Table1[[#This Row],[Order Date]])</f>
        <v>2023</v>
      </c>
      <c r="K285" t="str">
        <f>TEXT(Table1[[#This Row],[Order Date]], "MMM")</f>
        <v>Apr</v>
      </c>
    </row>
    <row r="286" spans="1:11">
      <c r="A286">
        <v>1649</v>
      </c>
      <c r="B286" s="4" t="s">
        <v>126</v>
      </c>
      <c r="C286" t="s">
        <v>29</v>
      </c>
      <c r="D286" t="s">
        <v>13</v>
      </c>
      <c r="E286" s="8">
        <v>4629</v>
      </c>
      <c r="F286" s="8">
        <v>691</v>
      </c>
      <c r="G286" t="s">
        <v>23</v>
      </c>
      <c r="H286" t="s">
        <v>15</v>
      </c>
      <c r="I286">
        <f>F286/E286</f>
        <v>0.14927630157701446</v>
      </c>
      <c r="J286">
        <f>YEAR(Table1[[#This Row],[Order Date]])</f>
        <v>2023</v>
      </c>
      <c r="K286" t="str">
        <f>TEXT(Table1[[#This Row],[Order Date]], "MMM")</f>
        <v>Apr</v>
      </c>
    </row>
    <row r="287" spans="1:11">
      <c r="A287">
        <v>1811</v>
      </c>
      <c r="B287" s="4" t="s">
        <v>126</v>
      </c>
      <c r="C287" t="s">
        <v>29</v>
      </c>
      <c r="D287" t="s">
        <v>13</v>
      </c>
      <c r="E287" s="8">
        <v>1807</v>
      </c>
      <c r="F287" s="8">
        <v>132</v>
      </c>
      <c r="G287" t="s">
        <v>18</v>
      </c>
      <c r="H287" t="s">
        <v>19</v>
      </c>
      <c r="I287">
        <f>F287/E287</f>
        <v>7.3049252905368012E-2</v>
      </c>
      <c r="J287">
        <f>YEAR(Table1[[#This Row],[Order Date]])</f>
        <v>2023</v>
      </c>
      <c r="K287" t="str">
        <f>TEXT(Table1[[#This Row],[Order Date]], "MMM")</f>
        <v>Apr</v>
      </c>
    </row>
    <row r="288" spans="1:11">
      <c r="A288">
        <v>1072</v>
      </c>
      <c r="B288" s="4" t="s">
        <v>127</v>
      </c>
      <c r="C288" t="s">
        <v>28</v>
      </c>
      <c r="D288" t="s">
        <v>25</v>
      </c>
      <c r="E288" s="8">
        <v>1066</v>
      </c>
      <c r="F288" s="8">
        <v>68</v>
      </c>
      <c r="G288" t="s">
        <v>30</v>
      </c>
      <c r="H288" t="s">
        <v>15</v>
      </c>
      <c r="I288">
        <f>F288/E288</f>
        <v>6.3789868667917443E-2</v>
      </c>
      <c r="J288">
        <f>YEAR(Table1[[#This Row],[Order Date]])</f>
        <v>2023</v>
      </c>
      <c r="K288" t="str">
        <f>TEXT(Table1[[#This Row],[Order Date]], "MMM")</f>
        <v>Apr</v>
      </c>
    </row>
    <row r="289" spans="1:11">
      <c r="A289">
        <v>1073</v>
      </c>
      <c r="B289" s="4" t="s">
        <v>127</v>
      </c>
      <c r="C289" t="s">
        <v>29</v>
      </c>
      <c r="D289" t="s">
        <v>25</v>
      </c>
      <c r="E289" s="8">
        <v>4568</v>
      </c>
      <c r="F289" s="8">
        <v>387</v>
      </c>
      <c r="G289" t="s">
        <v>23</v>
      </c>
      <c r="H289" t="s">
        <v>19</v>
      </c>
      <c r="I289">
        <f>F289/E289</f>
        <v>8.4719789842381793E-2</v>
      </c>
      <c r="J289">
        <f>YEAR(Table1[[#This Row],[Order Date]])</f>
        <v>2023</v>
      </c>
      <c r="K289" t="str">
        <f>TEXT(Table1[[#This Row],[Order Date]], "MMM")</f>
        <v>Apr</v>
      </c>
    </row>
    <row r="290" spans="1:11">
      <c r="A290">
        <v>1121</v>
      </c>
      <c r="B290" s="4" t="s">
        <v>127</v>
      </c>
      <c r="C290" t="s">
        <v>29</v>
      </c>
      <c r="D290" t="s">
        <v>13</v>
      </c>
      <c r="E290" s="8">
        <v>3788</v>
      </c>
      <c r="F290" s="8">
        <v>867</v>
      </c>
      <c r="G290" t="s">
        <v>14</v>
      </c>
      <c r="H290" t="s">
        <v>15</v>
      </c>
      <c r="I290">
        <f>F290/E290</f>
        <v>0.22888067581837382</v>
      </c>
      <c r="J290">
        <f>YEAR(Table1[[#This Row],[Order Date]])</f>
        <v>2023</v>
      </c>
      <c r="K290" t="str">
        <f>TEXT(Table1[[#This Row],[Order Date]], "MMM")</f>
        <v>Apr</v>
      </c>
    </row>
    <row r="291" spans="1:11">
      <c r="A291">
        <v>1283</v>
      </c>
      <c r="B291" s="4" t="s">
        <v>127</v>
      </c>
      <c r="C291" t="s">
        <v>24</v>
      </c>
      <c r="D291" t="s">
        <v>25</v>
      </c>
      <c r="E291" s="8">
        <v>1684</v>
      </c>
      <c r="F291" s="8">
        <v>46</v>
      </c>
      <c r="G291" t="s">
        <v>18</v>
      </c>
      <c r="H291" t="s">
        <v>15</v>
      </c>
      <c r="I291">
        <f>F291/E291</f>
        <v>2.7315914489311165E-2</v>
      </c>
      <c r="J291">
        <f>YEAR(Table1[[#This Row],[Order Date]])</f>
        <v>2023</v>
      </c>
      <c r="K291" t="str">
        <f>TEXT(Table1[[#This Row],[Order Date]], "MMM")</f>
        <v>Apr</v>
      </c>
    </row>
    <row r="292" spans="1:11">
      <c r="A292">
        <v>1543</v>
      </c>
      <c r="B292" s="4" t="s">
        <v>127</v>
      </c>
      <c r="C292" t="s">
        <v>27</v>
      </c>
      <c r="D292" t="s">
        <v>22</v>
      </c>
      <c r="E292" s="8">
        <v>2410</v>
      </c>
      <c r="F292" s="8">
        <v>639</v>
      </c>
      <c r="G292" t="s">
        <v>14</v>
      </c>
      <c r="H292" t="s">
        <v>15</v>
      </c>
      <c r="I292">
        <f>F292/E292</f>
        <v>0.26514522821576764</v>
      </c>
      <c r="J292">
        <f>YEAR(Table1[[#This Row],[Order Date]])</f>
        <v>2023</v>
      </c>
      <c r="K292" t="str">
        <f>TEXT(Table1[[#This Row],[Order Date]], "MMM")</f>
        <v>Apr</v>
      </c>
    </row>
    <row r="293" spans="1:11">
      <c r="A293">
        <v>1611</v>
      </c>
      <c r="B293" s="4" t="s">
        <v>127</v>
      </c>
      <c r="C293" t="s">
        <v>12</v>
      </c>
      <c r="D293" t="s">
        <v>22</v>
      </c>
      <c r="E293" s="8">
        <v>4335</v>
      </c>
      <c r="F293" s="8">
        <v>667</v>
      </c>
      <c r="G293" t="s">
        <v>14</v>
      </c>
      <c r="H293" t="s">
        <v>15</v>
      </c>
      <c r="I293">
        <f>F293/E293</f>
        <v>0.15386389850057669</v>
      </c>
      <c r="J293">
        <f>YEAR(Table1[[#This Row],[Order Date]])</f>
        <v>2023</v>
      </c>
      <c r="K293" t="str">
        <f>TEXT(Table1[[#This Row],[Order Date]], "MMM")</f>
        <v>Apr</v>
      </c>
    </row>
    <row r="294" spans="1:11">
      <c r="A294">
        <v>1797</v>
      </c>
      <c r="B294" s="4" t="s">
        <v>128</v>
      </c>
      <c r="C294" t="s">
        <v>27</v>
      </c>
      <c r="D294" t="s">
        <v>22</v>
      </c>
      <c r="E294" s="8">
        <v>1465</v>
      </c>
      <c r="F294" s="8">
        <v>150</v>
      </c>
      <c r="G294" t="s">
        <v>23</v>
      </c>
      <c r="H294" t="s">
        <v>19</v>
      </c>
      <c r="I294">
        <f>F294/E294</f>
        <v>0.10238907849829351</v>
      </c>
      <c r="J294">
        <f>YEAR(Table1[[#This Row],[Order Date]])</f>
        <v>2023</v>
      </c>
      <c r="K294" t="str">
        <f>TEXT(Table1[[#This Row],[Order Date]], "MMM")</f>
        <v>Apr</v>
      </c>
    </row>
    <row r="295" spans="1:11">
      <c r="A295">
        <v>1834</v>
      </c>
      <c r="B295" s="4" t="s">
        <v>128</v>
      </c>
      <c r="C295" t="s">
        <v>27</v>
      </c>
      <c r="D295" t="s">
        <v>25</v>
      </c>
      <c r="E295" s="8">
        <v>4726</v>
      </c>
      <c r="F295" s="8">
        <v>397</v>
      </c>
      <c r="G295" t="s">
        <v>23</v>
      </c>
      <c r="H295" t="s">
        <v>15</v>
      </c>
      <c r="I295">
        <f>F295/E295</f>
        <v>8.4003385526872615E-2</v>
      </c>
      <c r="J295">
        <f>YEAR(Table1[[#This Row],[Order Date]])</f>
        <v>2023</v>
      </c>
      <c r="K295" t="str">
        <f>TEXT(Table1[[#This Row],[Order Date]], "MMM")</f>
        <v>Apr</v>
      </c>
    </row>
    <row r="296" spans="1:11">
      <c r="A296">
        <v>1561</v>
      </c>
      <c r="B296" s="4" t="s">
        <v>129</v>
      </c>
      <c r="C296" t="s">
        <v>27</v>
      </c>
      <c r="D296" t="s">
        <v>22</v>
      </c>
      <c r="E296" s="8">
        <v>1412</v>
      </c>
      <c r="F296" s="8">
        <v>329</v>
      </c>
      <c r="G296" t="s">
        <v>23</v>
      </c>
      <c r="H296" t="s">
        <v>15</v>
      </c>
      <c r="I296">
        <f>F296/E296</f>
        <v>0.23300283286118981</v>
      </c>
      <c r="J296">
        <f>YEAR(Table1[[#This Row],[Order Date]])</f>
        <v>2023</v>
      </c>
      <c r="K296" t="str">
        <f>TEXT(Table1[[#This Row],[Order Date]], "MMM")</f>
        <v>Apr</v>
      </c>
    </row>
    <row r="297" spans="1:11">
      <c r="A297">
        <v>1825</v>
      </c>
      <c r="B297" s="4" t="s">
        <v>129</v>
      </c>
      <c r="C297" t="s">
        <v>29</v>
      </c>
      <c r="D297" t="s">
        <v>13</v>
      </c>
      <c r="E297" s="8">
        <v>4385</v>
      </c>
      <c r="F297" s="8">
        <v>315</v>
      </c>
      <c r="G297" t="s">
        <v>18</v>
      </c>
      <c r="H297" t="s">
        <v>15</v>
      </c>
      <c r="I297">
        <f>F297/E297</f>
        <v>7.1835803876852913E-2</v>
      </c>
      <c r="J297">
        <f>YEAR(Table1[[#This Row],[Order Date]])</f>
        <v>2023</v>
      </c>
      <c r="K297" t="str">
        <f>TEXT(Table1[[#This Row],[Order Date]], "MMM")</f>
        <v>Apr</v>
      </c>
    </row>
    <row r="298" spans="1:11">
      <c r="A298">
        <v>1436</v>
      </c>
      <c r="B298" s="4" t="s">
        <v>130</v>
      </c>
      <c r="C298" t="s">
        <v>24</v>
      </c>
      <c r="D298" t="s">
        <v>13</v>
      </c>
      <c r="E298" s="8">
        <v>2312</v>
      </c>
      <c r="F298" s="8">
        <v>709</v>
      </c>
      <c r="G298" t="s">
        <v>18</v>
      </c>
      <c r="H298" t="s">
        <v>19</v>
      </c>
      <c r="I298">
        <f>F298/E298</f>
        <v>0.30666089965397925</v>
      </c>
      <c r="J298">
        <f>YEAR(Table1[[#This Row],[Order Date]])</f>
        <v>2023</v>
      </c>
      <c r="K298" t="str">
        <f>TEXT(Table1[[#This Row],[Order Date]], "MMM")</f>
        <v>Apr</v>
      </c>
    </row>
    <row r="299" spans="1:11">
      <c r="A299">
        <v>1558</v>
      </c>
      <c r="B299" s="4" t="s">
        <v>130</v>
      </c>
      <c r="C299" t="s">
        <v>17</v>
      </c>
      <c r="D299" t="s">
        <v>13</v>
      </c>
      <c r="E299" s="8">
        <v>2863</v>
      </c>
      <c r="F299" s="8">
        <v>599</v>
      </c>
      <c r="G299" t="s">
        <v>23</v>
      </c>
      <c r="H299" t="s">
        <v>19</v>
      </c>
      <c r="I299">
        <f>F299/E299</f>
        <v>0.20922109675165909</v>
      </c>
      <c r="J299">
        <f>YEAR(Table1[[#This Row],[Order Date]])</f>
        <v>2023</v>
      </c>
      <c r="K299" t="str">
        <f>TEXT(Table1[[#This Row],[Order Date]], "MMM")</f>
        <v>Apr</v>
      </c>
    </row>
    <row r="300" spans="1:11">
      <c r="A300">
        <v>1935</v>
      </c>
      <c r="B300" s="4" t="s">
        <v>130</v>
      </c>
      <c r="C300" t="s">
        <v>27</v>
      </c>
      <c r="D300" t="s">
        <v>22</v>
      </c>
      <c r="E300" s="8">
        <v>850</v>
      </c>
      <c r="F300" s="8">
        <v>99</v>
      </c>
      <c r="G300" t="s">
        <v>18</v>
      </c>
      <c r="H300" t="s">
        <v>19</v>
      </c>
      <c r="I300">
        <f>F300/E300</f>
        <v>0.11647058823529412</v>
      </c>
      <c r="J300">
        <f>YEAR(Table1[[#This Row],[Order Date]])</f>
        <v>2023</v>
      </c>
      <c r="K300" t="str">
        <f>TEXT(Table1[[#This Row],[Order Date]], "MMM")</f>
        <v>Apr</v>
      </c>
    </row>
    <row r="301" spans="1:11">
      <c r="A301">
        <v>1276</v>
      </c>
      <c r="B301" s="4" t="s">
        <v>131</v>
      </c>
      <c r="C301" t="s">
        <v>28</v>
      </c>
      <c r="D301" t="s">
        <v>13</v>
      </c>
      <c r="E301" s="8">
        <v>4079</v>
      </c>
      <c r="F301" s="8">
        <v>226</v>
      </c>
      <c r="G301" t="s">
        <v>18</v>
      </c>
      <c r="H301" t="s">
        <v>15</v>
      </c>
      <c r="I301">
        <f>F301/E301</f>
        <v>5.5405736700171612E-2</v>
      </c>
      <c r="J301">
        <f>YEAR(Table1[[#This Row],[Order Date]])</f>
        <v>2023</v>
      </c>
      <c r="K301" t="str">
        <f>TEXT(Table1[[#This Row],[Order Date]], "MMM")</f>
        <v>Apr</v>
      </c>
    </row>
    <row r="302" spans="1:11">
      <c r="A302">
        <v>1279</v>
      </c>
      <c r="B302" s="4" t="s">
        <v>131</v>
      </c>
      <c r="C302" t="s">
        <v>28</v>
      </c>
      <c r="D302" t="s">
        <v>22</v>
      </c>
      <c r="E302" s="8">
        <v>4305</v>
      </c>
      <c r="F302" s="8">
        <v>236</v>
      </c>
      <c r="G302" t="s">
        <v>23</v>
      </c>
      <c r="H302" t="s">
        <v>15</v>
      </c>
      <c r="I302">
        <f>F302/E302</f>
        <v>5.4819976771196287E-2</v>
      </c>
      <c r="J302">
        <f>YEAR(Table1[[#This Row],[Order Date]])</f>
        <v>2023</v>
      </c>
      <c r="K302" t="str">
        <f>TEXT(Table1[[#This Row],[Order Date]], "MMM")</f>
        <v>Apr</v>
      </c>
    </row>
    <row r="303" spans="1:11">
      <c r="A303">
        <v>1082</v>
      </c>
      <c r="B303" s="4" t="s">
        <v>132</v>
      </c>
      <c r="C303" t="s">
        <v>24</v>
      </c>
      <c r="D303" t="s">
        <v>13</v>
      </c>
      <c r="E303" s="8">
        <v>4939</v>
      </c>
      <c r="F303" s="8">
        <v>260</v>
      </c>
      <c r="G303" t="s">
        <v>18</v>
      </c>
      <c r="H303" t="s">
        <v>19</v>
      </c>
      <c r="I303">
        <f>F303/E303</f>
        <v>5.2642235270297634E-2</v>
      </c>
      <c r="J303">
        <f>YEAR(Table1[[#This Row],[Order Date]])</f>
        <v>2023</v>
      </c>
      <c r="K303" t="str">
        <f>TEXT(Table1[[#This Row],[Order Date]], "MMM")</f>
        <v>Apr</v>
      </c>
    </row>
    <row r="304" spans="1:11">
      <c r="A304">
        <v>1084</v>
      </c>
      <c r="B304" s="4" t="s">
        <v>132</v>
      </c>
      <c r="C304" t="s">
        <v>28</v>
      </c>
      <c r="D304" t="s">
        <v>25</v>
      </c>
      <c r="E304" s="8">
        <v>230</v>
      </c>
      <c r="F304" s="8">
        <v>500</v>
      </c>
      <c r="G304" t="s">
        <v>14</v>
      </c>
      <c r="H304" t="s">
        <v>15</v>
      </c>
      <c r="I304">
        <f>F304/E304</f>
        <v>2.1739130434782608</v>
      </c>
      <c r="J304">
        <f>YEAR(Table1[[#This Row],[Order Date]])</f>
        <v>2023</v>
      </c>
      <c r="K304" t="str">
        <f>TEXT(Table1[[#This Row],[Order Date]], "MMM")</f>
        <v>Apr</v>
      </c>
    </row>
    <row r="305" spans="1:11">
      <c r="A305">
        <v>1518</v>
      </c>
      <c r="B305" s="4" t="s">
        <v>132</v>
      </c>
      <c r="C305" t="s">
        <v>12</v>
      </c>
      <c r="D305" t="s">
        <v>13</v>
      </c>
      <c r="E305" s="8">
        <v>2155</v>
      </c>
      <c r="F305" s="8">
        <v>74</v>
      </c>
      <c r="G305" t="s">
        <v>30</v>
      </c>
      <c r="H305" t="s">
        <v>15</v>
      </c>
      <c r="I305">
        <f>F305/E305</f>
        <v>3.4338747099767981E-2</v>
      </c>
      <c r="J305">
        <f>YEAR(Table1[[#This Row],[Order Date]])</f>
        <v>2023</v>
      </c>
      <c r="K305" t="str">
        <f>TEXT(Table1[[#This Row],[Order Date]], "MMM")</f>
        <v>Apr</v>
      </c>
    </row>
    <row r="306" spans="1:11">
      <c r="A306">
        <v>1572</v>
      </c>
      <c r="B306" s="4" t="s">
        <v>132</v>
      </c>
      <c r="C306" t="s">
        <v>12</v>
      </c>
      <c r="D306" t="s">
        <v>13</v>
      </c>
      <c r="E306" s="8">
        <v>2615</v>
      </c>
      <c r="F306" s="8">
        <v>76</v>
      </c>
      <c r="G306" t="s">
        <v>30</v>
      </c>
      <c r="H306" t="s">
        <v>19</v>
      </c>
      <c r="I306">
        <f>F306/E306</f>
        <v>2.9063097514340344E-2</v>
      </c>
      <c r="J306">
        <f>YEAR(Table1[[#This Row],[Order Date]])</f>
        <v>2023</v>
      </c>
      <c r="K306" t="str">
        <f>TEXT(Table1[[#This Row],[Order Date]], "MMM")</f>
        <v>Apr</v>
      </c>
    </row>
    <row r="307" spans="1:11">
      <c r="A307">
        <v>1972</v>
      </c>
      <c r="B307" s="4" t="s">
        <v>132</v>
      </c>
      <c r="C307" t="s">
        <v>27</v>
      </c>
      <c r="D307" t="s">
        <v>13</v>
      </c>
      <c r="E307" s="8">
        <v>1587</v>
      </c>
      <c r="F307" s="8">
        <v>582</v>
      </c>
      <c r="G307" t="s">
        <v>18</v>
      </c>
      <c r="H307" t="s">
        <v>19</v>
      </c>
      <c r="I307">
        <f>F307/E307</f>
        <v>0.3667296786389414</v>
      </c>
      <c r="J307">
        <f>YEAR(Table1[[#This Row],[Order Date]])</f>
        <v>2023</v>
      </c>
      <c r="K307" t="str">
        <f>TEXT(Table1[[#This Row],[Order Date]], "MMM")</f>
        <v>Apr</v>
      </c>
    </row>
    <row r="308" spans="1:11">
      <c r="A308">
        <v>1345</v>
      </c>
      <c r="B308" s="4" t="s">
        <v>133</v>
      </c>
      <c r="C308" t="s">
        <v>28</v>
      </c>
      <c r="D308" t="s">
        <v>22</v>
      </c>
      <c r="E308" s="8">
        <v>1347</v>
      </c>
      <c r="F308" s="8">
        <v>227</v>
      </c>
      <c r="G308" t="s">
        <v>14</v>
      </c>
      <c r="H308" t="s">
        <v>15</v>
      </c>
      <c r="I308">
        <f>F308/E308</f>
        <v>0.16852264291017074</v>
      </c>
      <c r="J308">
        <f>YEAR(Table1[[#This Row],[Order Date]])</f>
        <v>2023</v>
      </c>
      <c r="K308" t="str">
        <f>TEXT(Table1[[#This Row],[Order Date]], "MMM")</f>
        <v>Apr</v>
      </c>
    </row>
    <row r="309" spans="1:11">
      <c r="A309">
        <v>1714</v>
      </c>
      <c r="B309" s="4" t="s">
        <v>133</v>
      </c>
      <c r="C309" t="s">
        <v>24</v>
      </c>
      <c r="D309" t="s">
        <v>13</v>
      </c>
      <c r="E309" s="8">
        <v>2976</v>
      </c>
      <c r="F309" s="8">
        <v>667</v>
      </c>
      <c r="G309" t="s">
        <v>18</v>
      </c>
      <c r="H309" t="s">
        <v>19</v>
      </c>
      <c r="I309">
        <f>F309/E309</f>
        <v>0.2241263440860215</v>
      </c>
      <c r="J309">
        <f>YEAR(Table1[[#This Row],[Order Date]])</f>
        <v>2023</v>
      </c>
      <c r="K309" t="str">
        <f>TEXT(Table1[[#This Row],[Order Date]], "MMM")</f>
        <v>Apr</v>
      </c>
    </row>
    <row r="310" spans="1:11">
      <c r="A310">
        <v>1893</v>
      </c>
      <c r="B310" s="4" t="s">
        <v>133</v>
      </c>
      <c r="C310" t="s">
        <v>21</v>
      </c>
      <c r="D310" t="s">
        <v>13</v>
      </c>
      <c r="E310" s="8">
        <v>699</v>
      </c>
      <c r="F310" s="8">
        <v>135</v>
      </c>
      <c r="G310" t="s">
        <v>23</v>
      </c>
      <c r="H310" t="s">
        <v>15</v>
      </c>
      <c r="I310">
        <f>F310/E310</f>
        <v>0.19313304721030042</v>
      </c>
      <c r="J310">
        <f>YEAR(Table1[[#This Row],[Order Date]])</f>
        <v>2023</v>
      </c>
      <c r="K310" t="str">
        <f>TEXT(Table1[[#This Row],[Order Date]], "MMM")</f>
        <v>Apr</v>
      </c>
    </row>
    <row r="311" spans="1:11">
      <c r="A311">
        <v>1120</v>
      </c>
      <c r="B311" s="4" t="s">
        <v>134</v>
      </c>
      <c r="C311" t="s">
        <v>17</v>
      </c>
      <c r="D311" t="s">
        <v>25</v>
      </c>
      <c r="E311" s="8">
        <v>824</v>
      </c>
      <c r="F311" s="8">
        <v>79</v>
      </c>
      <c r="G311" t="s">
        <v>18</v>
      </c>
      <c r="H311" t="s">
        <v>19</v>
      </c>
      <c r="I311">
        <f>F311/E311</f>
        <v>9.5873786407766989E-2</v>
      </c>
      <c r="J311">
        <f>YEAR(Table1[[#This Row],[Order Date]])</f>
        <v>2023</v>
      </c>
      <c r="K311" t="str">
        <f>TEXT(Table1[[#This Row],[Order Date]], "MMM")</f>
        <v>Apr</v>
      </c>
    </row>
    <row r="312" spans="1:11">
      <c r="A312">
        <v>1138</v>
      </c>
      <c r="B312" s="4" t="s">
        <v>134</v>
      </c>
      <c r="C312" t="s">
        <v>27</v>
      </c>
      <c r="D312" t="s">
        <v>25</v>
      </c>
      <c r="E312" s="8">
        <v>4699</v>
      </c>
      <c r="F312" s="8">
        <v>250</v>
      </c>
      <c r="G312" t="s">
        <v>18</v>
      </c>
      <c r="H312" t="s">
        <v>15</v>
      </c>
      <c r="I312">
        <f>F312/E312</f>
        <v>5.3202809108320918E-2</v>
      </c>
      <c r="J312">
        <f>YEAR(Table1[[#This Row],[Order Date]])</f>
        <v>2023</v>
      </c>
      <c r="K312" t="str">
        <f>TEXT(Table1[[#This Row],[Order Date]], "MMM")</f>
        <v>Apr</v>
      </c>
    </row>
    <row r="313" spans="1:11">
      <c r="A313">
        <v>1591</v>
      </c>
      <c r="B313" s="4" t="s">
        <v>134</v>
      </c>
      <c r="C313" t="s">
        <v>27</v>
      </c>
      <c r="D313" t="s">
        <v>25</v>
      </c>
      <c r="E313" s="8">
        <v>1464</v>
      </c>
      <c r="F313" s="8">
        <v>524</v>
      </c>
      <c r="G313" t="s">
        <v>23</v>
      </c>
      <c r="H313" t="s">
        <v>19</v>
      </c>
      <c r="I313">
        <f>F313/E313</f>
        <v>0.35792349726775957</v>
      </c>
      <c r="J313">
        <f>YEAR(Table1[[#This Row],[Order Date]])</f>
        <v>2023</v>
      </c>
      <c r="K313" t="str">
        <f>TEXT(Table1[[#This Row],[Order Date]], "MMM")</f>
        <v>Apr</v>
      </c>
    </row>
    <row r="314" spans="1:11">
      <c r="A314">
        <v>1998</v>
      </c>
      <c r="B314" s="4" t="s">
        <v>134</v>
      </c>
      <c r="C314" t="s">
        <v>17</v>
      </c>
      <c r="D314" t="s">
        <v>25</v>
      </c>
      <c r="E314" s="8">
        <v>1169</v>
      </c>
      <c r="F314" s="8">
        <v>842</v>
      </c>
      <c r="G314" t="s">
        <v>30</v>
      </c>
      <c r="H314" t="s">
        <v>19</v>
      </c>
      <c r="I314">
        <f>F314/E314</f>
        <v>0.72027373823781005</v>
      </c>
      <c r="J314">
        <f>YEAR(Table1[[#This Row],[Order Date]])</f>
        <v>2023</v>
      </c>
      <c r="K314" t="str">
        <f>TEXT(Table1[[#This Row],[Order Date]], "MMM")</f>
        <v>Apr</v>
      </c>
    </row>
    <row r="315" spans="1:11">
      <c r="A315">
        <v>1339</v>
      </c>
      <c r="B315" s="4" t="s">
        <v>135</v>
      </c>
      <c r="C315" t="s">
        <v>27</v>
      </c>
      <c r="D315" t="s">
        <v>22</v>
      </c>
      <c r="E315" s="8">
        <v>4410</v>
      </c>
      <c r="F315" s="8">
        <v>170</v>
      </c>
      <c r="G315" t="s">
        <v>23</v>
      </c>
      <c r="H315" t="s">
        <v>19</v>
      </c>
      <c r="I315">
        <f>F315/E315</f>
        <v>3.8548752834467119E-2</v>
      </c>
      <c r="J315">
        <f>YEAR(Table1[[#This Row],[Order Date]])</f>
        <v>2023</v>
      </c>
      <c r="K315" t="str">
        <f>TEXT(Table1[[#This Row],[Order Date]], "MMM")</f>
        <v>Apr</v>
      </c>
    </row>
    <row r="316" spans="1:11">
      <c r="A316">
        <v>1373</v>
      </c>
      <c r="B316" s="4" t="s">
        <v>135</v>
      </c>
      <c r="C316" t="s">
        <v>17</v>
      </c>
      <c r="D316" t="s">
        <v>13</v>
      </c>
      <c r="E316" s="8">
        <v>3822</v>
      </c>
      <c r="F316" s="8">
        <v>642</v>
      </c>
      <c r="G316" t="s">
        <v>18</v>
      </c>
      <c r="H316" t="s">
        <v>19</v>
      </c>
      <c r="I316">
        <f>F316/E316</f>
        <v>0.16797488226059654</v>
      </c>
      <c r="J316">
        <f>YEAR(Table1[[#This Row],[Order Date]])</f>
        <v>2023</v>
      </c>
      <c r="K316" t="str">
        <f>TEXT(Table1[[#This Row],[Order Date]], "MMM")</f>
        <v>Apr</v>
      </c>
    </row>
    <row r="317" spans="1:11">
      <c r="A317">
        <v>1169</v>
      </c>
      <c r="B317" s="4" t="s">
        <v>136</v>
      </c>
      <c r="C317" t="s">
        <v>21</v>
      </c>
      <c r="D317" t="s">
        <v>25</v>
      </c>
      <c r="E317" s="8">
        <v>1226</v>
      </c>
      <c r="F317" s="8">
        <v>91</v>
      </c>
      <c r="G317" t="s">
        <v>23</v>
      </c>
      <c r="H317" t="s">
        <v>19</v>
      </c>
      <c r="I317">
        <f>F317/E317</f>
        <v>7.4225122349102779E-2</v>
      </c>
      <c r="J317">
        <f>YEAR(Table1[[#This Row],[Order Date]])</f>
        <v>2023</v>
      </c>
      <c r="K317" t="str">
        <f>TEXT(Table1[[#This Row],[Order Date]], "MMM")</f>
        <v>Apr</v>
      </c>
    </row>
    <row r="318" spans="1:11">
      <c r="A318">
        <v>1429</v>
      </c>
      <c r="B318" s="4" t="s">
        <v>136</v>
      </c>
      <c r="C318" t="s">
        <v>28</v>
      </c>
      <c r="D318" t="s">
        <v>13</v>
      </c>
      <c r="E318" s="8">
        <v>4724</v>
      </c>
      <c r="F318" s="8">
        <v>585</v>
      </c>
      <c r="G318" t="s">
        <v>30</v>
      </c>
      <c r="H318" t="s">
        <v>19</v>
      </c>
      <c r="I318">
        <f>F318/E318</f>
        <v>0.12383573243014395</v>
      </c>
      <c r="J318">
        <f>YEAR(Table1[[#This Row],[Order Date]])</f>
        <v>2023</v>
      </c>
      <c r="K318" t="str">
        <f>TEXT(Table1[[#This Row],[Order Date]], "MMM")</f>
        <v>Apr</v>
      </c>
    </row>
    <row r="319" spans="1:11">
      <c r="A319">
        <v>1634</v>
      </c>
      <c r="B319" s="4" t="s">
        <v>136</v>
      </c>
      <c r="C319" t="s">
        <v>29</v>
      </c>
      <c r="D319" t="s">
        <v>22</v>
      </c>
      <c r="E319" s="8">
        <v>3590</v>
      </c>
      <c r="F319" s="8">
        <v>131</v>
      </c>
      <c r="G319" t="s">
        <v>30</v>
      </c>
      <c r="H319" t="s">
        <v>19</v>
      </c>
      <c r="I319">
        <f>F319/E319</f>
        <v>3.6490250696378831E-2</v>
      </c>
      <c r="J319">
        <f>YEAR(Table1[[#This Row],[Order Date]])</f>
        <v>2023</v>
      </c>
      <c r="K319" t="str">
        <f>TEXT(Table1[[#This Row],[Order Date]], "MMM")</f>
        <v>Apr</v>
      </c>
    </row>
    <row r="320" spans="1:11">
      <c r="A320">
        <v>1844</v>
      </c>
      <c r="B320" s="4" t="s">
        <v>136</v>
      </c>
      <c r="C320" t="s">
        <v>12</v>
      </c>
      <c r="D320" t="s">
        <v>22</v>
      </c>
      <c r="E320" s="8">
        <v>1658</v>
      </c>
      <c r="F320" s="8">
        <v>719</v>
      </c>
      <c r="G320" t="s">
        <v>30</v>
      </c>
      <c r="H320" t="s">
        <v>19</v>
      </c>
      <c r="I320">
        <f>F320/E320</f>
        <v>0.43365500603136309</v>
      </c>
      <c r="J320">
        <f>YEAR(Table1[[#This Row],[Order Date]])</f>
        <v>2023</v>
      </c>
      <c r="K320" t="str">
        <f>TEXT(Table1[[#This Row],[Order Date]], "MMM")</f>
        <v>Apr</v>
      </c>
    </row>
    <row r="321" spans="1:11">
      <c r="A321">
        <v>1881</v>
      </c>
      <c r="B321" s="4" t="s">
        <v>136</v>
      </c>
      <c r="C321" t="s">
        <v>12</v>
      </c>
      <c r="D321" t="s">
        <v>25</v>
      </c>
      <c r="E321" s="8">
        <v>2928</v>
      </c>
      <c r="F321" s="8">
        <v>204</v>
      </c>
      <c r="G321" t="s">
        <v>23</v>
      </c>
      <c r="H321" t="s">
        <v>15</v>
      </c>
      <c r="I321">
        <f>F321/E321</f>
        <v>6.9672131147540978E-2</v>
      </c>
      <c r="J321">
        <f>YEAR(Table1[[#This Row],[Order Date]])</f>
        <v>2023</v>
      </c>
      <c r="K321" t="str">
        <f>TEXT(Table1[[#This Row],[Order Date]], "MMM")</f>
        <v>Apr</v>
      </c>
    </row>
    <row r="322" spans="1:11">
      <c r="A322">
        <v>1197</v>
      </c>
      <c r="B322" s="4" t="s">
        <v>137</v>
      </c>
      <c r="C322" t="s">
        <v>12</v>
      </c>
      <c r="D322" t="s">
        <v>13</v>
      </c>
      <c r="E322" s="8">
        <v>4138</v>
      </c>
      <c r="F322" s="8">
        <v>529</v>
      </c>
      <c r="G322" t="s">
        <v>30</v>
      </c>
      <c r="H322" t="s">
        <v>19</v>
      </c>
      <c r="I322">
        <f>F322/E322</f>
        <v>0.12783953600773321</v>
      </c>
      <c r="J322">
        <f>YEAR(Table1[[#This Row],[Order Date]])</f>
        <v>2023</v>
      </c>
      <c r="K322" t="str">
        <f>TEXT(Table1[[#This Row],[Order Date]], "MMM")</f>
        <v>Apr</v>
      </c>
    </row>
    <row r="323" spans="1:11">
      <c r="A323">
        <v>1947</v>
      </c>
      <c r="B323" s="4" t="s">
        <v>137</v>
      </c>
      <c r="C323" t="s">
        <v>27</v>
      </c>
      <c r="D323" t="s">
        <v>25</v>
      </c>
      <c r="E323" s="8">
        <v>3669</v>
      </c>
      <c r="F323" s="8">
        <v>212</v>
      </c>
      <c r="G323" t="s">
        <v>14</v>
      </c>
      <c r="H323" t="s">
        <v>19</v>
      </c>
      <c r="I323">
        <f>F323/E323</f>
        <v>5.7781411828836192E-2</v>
      </c>
      <c r="J323">
        <f>YEAR(Table1[[#This Row],[Order Date]])</f>
        <v>2023</v>
      </c>
      <c r="K323" t="str">
        <f>TEXT(Table1[[#This Row],[Order Date]], "MMM")</f>
        <v>Apr</v>
      </c>
    </row>
    <row r="324" spans="1:11">
      <c r="A324">
        <v>1100</v>
      </c>
      <c r="B324" s="4" t="s">
        <v>138</v>
      </c>
      <c r="C324" t="s">
        <v>29</v>
      </c>
      <c r="D324" t="s">
        <v>25</v>
      </c>
      <c r="E324" s="8">
        <v>3146</v>
      </c>
      <c r="F324" s="8">
        <v>304</v>
      </c>
      <c r="G324" t="s">
        <v>14</v>
      </c>
      <c r="H324" t="s">
        <v>19</v>
      </c>
      <c r="I324">
        <f>F324/E324</f>
        <v>9.663064208518754E-2</v>
      </c>
      <c r="J324">
        <f>YEAR(Table1[[#This Row],[Order Date]])</f>
        <v>2023</v>
      </c>
      <c r="K324" t="str">
        <f>TEXT(Table1[[#This Row],[Order Date]], "MMM")</f>
        <v>Apr</v>
      </c>
    </row>
    <row r="325" spans="1:11">
      <c r="A325">
        <v>1180</v>
      </c>
      <c r="B325" s="4" t="s">
        <v>138</v>
      </c>
      <c r="C325" t="s">
        <v>28</v>
      </c>
      <c r="D325" t="s">
        <v>22</v>
      </c>
      <c r="E325" s="8">
        <v>3992</v>
      </c>
      <c r="F325" s="8">
        <v>356</v>
      </c>
      <c r="G325" t="s">
        <v>14</v>
      </c>
      <c r="H325" t="s">
        <v>19</v>
      </c>
      <c r="I325">
        <f>F325/E325</f>
        <v>8.917835671342686E-2</v>
      </c>
      <c r="J325">
        <f>YEAR(Table1[[#This Row],[Order Date]])</f>
        <v>2023</v>
      </c>
      <c r="K325" t="str">
        <f>TEXT(Table1[[#This Row],[Order Date]], "MMM")</f>
        <v>Apr</v>
      </c>
    </row>
    <row r="326" spans="1:11">
      <c r="A326">
        <v>1183</v>
      </c>
      <c r="B326" s="4" t="s">
        <v>139</v>
      </c>
      <c r="C326" t="s">
        <v>12</v>
      </c>
      <c r="D326" t="s">
        <v>25</v>
      </c>
      <c r="E326" s="8">
        <v>2065</v>
      </c>
      <c r="F326" s="8">
        <v>691</v>
      </c>
      <c r="G326" t="s">
        <v>23</v>
      </c>
      <c r="H326" t="s">
        <v>19</v>
      </c>
      <c r="I326">
        <f>F326/E326</f>
        <v>0.33462469733656175</v>
      </c>
      <c r="J326">
        <f>YEAR(Table1[[#This Row],[Order Date]])</f>
        <v>2023</v>
      </c>
      <c r="K326" t="str">
        <f>TEXT(Table1[[#This Row],[Order Date]], "MMM")</f>
        <v>May</v>
      </c>
    </row>
    <row r="327" spans="1:11">
      <c r="A327">
        <v>1493</v>
      </c>
      <c r="B327" s="4" t="s">
        <v>139</v>
      </c>
      <c r="C327" t="s">
        <v>29</v>
      </c>
      <c r="D327" t="s">
        <v>22</v>
      </c>
      <c r="E327" s="8">
        <v>774</v>
      </c>
      <c r="F327" s="8">
        <v>965</v>
      </c>
      <c r="G327" t="s">
        <v>18</v>
      </c>
      <c r="H327" t="s">
        <v>19</v>
      </c>
      <c r="I327">
        <f>F327/E327</f>
        <v>1.2467700258397933</v>
      </c>
      <c r="J327">
        <f>YEAR(Table1[[#This Row],[Order Date]])</f>
        <v>2023</v>
      </c>
      <c r="K327" t="str">
        <f>TEXT(Table1[[#This Row],[Order Date]], "MMM")</f>
        <v>May</v>
      </c>
    </row>
    <row r="328" spans="1:11">
      <c r="A328">
        <v>1002</v>
      </c>
      <c r="B328" s="4" t="s">
        <v>140</v>
      </c>
      <c r="C328" t="s">
        <v>17</v>
      </c>
      <c r="D328" t="s">
        <v>13</v>
      </c>
      <c r="E328" s="8">
        <v>2776</v>
      </c>
      <c r="F328" s="8">
        <v>233</v>
      </c>
      <c r="G328" t="s">
        <v>14</v>
      </c>
      <c r="H328" t="s">
        <v>19</v>
      </c>
      <c r="I328">
        <f>F328/E328</f>
        <v>8.3933717579250722E-2</v>
      </c>
      <c r="J328">
        <f>YEAR(Table1[[#This Row],[Order Date]])</f>
        <v>2023</v>
      </c>
      <c r="K328" t="str">
        <f>TEXT(Table1[[#This Row],[Order Date]], "MMM")</f>
        <v>May</v>
      </c>
    </row>
    <row r="329" spans="1:11">
      <c r="A329">
        <v>1447</v>
      </c>
      <c r="B329" s="4" t="s">
        <v>140</v>
      </c>
      <c r="C329" t="s">
        <v>24</v>
      </c>
      <c r="D329" t="s">
        <v>25</v>
      </c>
      <c r="E329" s="8">
        <v>2767</v>
      </c>
      <c r="F329" s="8">
        <v>466</v>
      </c>
      <c r="G329" t="s">
        <v>30</v>
      </c>
      <c r="H329" t="s">
        <v>15</v>
      </c>
      <c r="I329">
        <f>F329/E329</f>
        <v>0.16841344416335383</v>
      </c>
      <c r="J329">
        <f>YEAR(Table1[[#This Row],[Order Date]])</f>
        <v>2023</v>
      </c>
      <c r="K329" t="str">
        <f>TEXT(Table1[[#This Row],[Order Date]], "MMM")</f>
        <v>May</v>
      </c>
    </row>
    <row r="330" spans="1:11">
      <c r="A330">
        <v>1499</v>
      </c>
      <c r="B330" s="4" t="s">
        <v>141</v>
      </c>
      <c r="C330" t="s">
        <v>17</v>
      </c>
      <c r="D330" t="s">
        <v>25</v>
      </c>
      <c r="E330" s="8">
        <v>857</v>
      </c>
      <c r="F330" s="8">
        <v>410</v>
      </c>
      <c r="G330" t="s">
        <v>23</v>
      </c>
      <c r="H330" t="s">
        <v>15</v>
      </c>
      <c r="I330">
        <f>F330/E330</f>
        <v>0.47841306884480744</v>
      </c>
      <c r="J330">
        <f>YEAR(Table1[[#This Row],[Order Date]])</f>
        <v>2023</v>
      </c>
      <c r="K330" t="str">
        <f>TEXT(Table1[[#This Row],[Order Date]], "MMM")</f>
        <v>May</v>
      </c>
    </row>
    <row r="331" spans="1:11">
      <c r="A331">
        <v>1772</v>
      </c>
      <c r="B331" s="4" t="s">
        <v>141</v>
      </c>
      <c r="C331" t="s">
        <v>21</v>
      </c>
      <c r="D331" t="s">
        <v>25</v>
      </c>
      <c r="E331" s="8">
        <v>425</v>
      </c>
      <c r="F331" s="8">
        <v>194</v>
      </c>
      <c r="G331" t="s">
        <v>14</v>
      </c>
      <c r="H331" t="s">
        <v>19</v>
      </c>
      <c r="I331">
        <f>F331/E331</f>
        <v>0.45647058823529413</v>
      </c>
      <c r="J331">
        <f>YEAR(Table1[[#This Row],[Order Date]])</f>
        <v>2023</v>
      </c>
      <c r="K331" t="str">
        <f>TEXT(Table1[[#This Row],[Order Date]], "MMM")</f>
        <v>May</v>
      </c>
    </row>
    <row r="332" spans="1:11">
      <c r="A332">
        <v>1497</v>
      </c>
      <c r="B332" s="4" t="s">
        <v>142</v>
      </c>
      <c r="C332" t="s">
        <v>27</v>
      </c>
      <c r="D332" t="s">
        <v>25</v>
      </c>
      <c r="E332" s="8">
        <v>3573</v>
      </c>
      <c r="F332" s="8">
        <v>402</v>
      </c>
      <c r="G332" t="s">
        <v>18</v>
      </c>
      <c r="H332" t="s">
        <v>19</v>
      </c>
      <c r="I332">
        <f>F332/E332</f>
        <v>0.11251049538203191</v>
      </c>
      <c r="J332">
        <f>YEAR(Table1[[#This Row],[Order Date]])</f>
        <v>2023</v>
      </c>
      <c r="K332" t="str">
        <f>TEXT(Table1[[#This Row],[Order Date]], "MMM")</f>
        <v>May</v>
      </c>
    </row>
    <row r="333" spans="1:11">
      <c r="A333">
        <v>1593</v>
      </c>
      <c r="B333" s="4" t="s">
        <v>142</v>
      </c>
      <c r="C333" t="s">
        <v>17</v>
      </c>
      <c r="D333" t="s">
        <v>25</v>
      </c>
      <c r="E333" s="8">
        <v>2380</v>
      </c>
      <c r="F333" s="8">
        <v>197</v>
      </c>
      <c r="G333" t="s">
        <v>30</v>
      </c>
      <c r="H333" t="s">
        <v>15</v>
      </c>
      <c r="I333">
        <f>F333/E333</f>
        <v>8.2773109243697476E-2</v>
      </c>
      <c r="J333">
        <f>YEAR(Table1[[#This Row],[Order Date]])</f>
        <v>2023</v>
      </c>
      <c r="K333" t="str">
        <f>TEXT(Table1[[#This Row],[Order Date]], "MMM")</f>
        <v>May</v>
      </c>
    </row>
    <row r="334" spans="1:11">
      <c r="A334">
        <v>1027</v>
      </c>
      <c r="B334" s="4" t="s">
        <v>143</v>
      </c>
      <c r="C334" t="s">
        <v>17</v>
      </c>
      <c r="D334" t="s">
        <v>25</v>
      </c>
      <c r="E334" s="8">
        <v>2861</v>
      </c>
      <c r="F334" s="8">
        <v>914</v>
      </c>
      <c r="G334" t="s">
        <v>14</v>
      </c>
      <c r="H334" t="s">
        <v>19</v>
      </c>
      <c r="I334">
        <f>F334/E334</f>
        <v>0.31946871723173714</v>
      </c>
      <c r="J334">
        <f>YEAR(Table1[[#This Row],[Order Date]])</f>
        <v>2023</v>
      </c>
      <c r="K334" t="str">
        <f>TEXT(Table1[[#This Row],[Order Date]], "MMM")</f>
        <v>May</v>
      </c>
    </row>
    <row r="335" spans="1:11">
      <c r="A335">
        <v>1160</v>
      </c>
      <c r="B335" s="4" t="s">
        <v>143</v>
      </c>
      <c r="C335" t="s">
        <v>27</v>
      </c>
      <c r="D335" t="s">
        <v>13</v>
      </c>
      <c r="E335" s="8">
        <v>4653</v>
      </c>
      <c r="F335" s="8">
        <v>416</v>
      </c>
      <c r="G335" t="s">
        <v>18</v>
      </c>
      <c r="H335" t="s">
        <v>19</v>
      </c>
      <c r="I335">
        <f>F335/E335</f>
        <v>8.9404685149366003E-2</v>
      </c>
      <c r="J335">
        <f>YEAR(Table1[[#This Row],[Order Date]])</f>
        <v>2023</v>
      </c>
      <c r="K335" t="str">
        <f>TEXT(Table1[[#This Row],[Order Date]], "MMM")</f>
        <v>May</v>
      </c>
    </row>
    <row r="336" spans="1:11">
      <c r="A336">
        <v>1167</v>
      </c>
      <c r="B336" s="4" t="s">
        <v>143</v>
      </c>
      <c r="C336" t="s">
        <v>27</v>
      </c>
      <c r="D336" t="s">
        <v>13</v>
      </c>
      <c r="E336" s="8">
        <v>1623</v>
      </c>
      <c r="F336" s="8">
        <v>674</v>
      </c>
      <c r="G336" t="s">
        <v>30</v>
      </c>
      <c r="H336" t="s">
        <v>19</v>
      </c>
      <c r="I336">
        <f>F336/E336</f>
        <v>0.41528034504004929</v>
      </c>
      <c r="J336">
        <f>YEAR(Table1[[#This Row],[Order Date]])</f>
        <v>2023</v>
      </c>
      <c r="K336" t="str">
        <f>TEXT(Table1[[#This Row],[Order Date]], "MMM")</f>
        <v>May</v>
      </c>
    </row>
    <row r="337" spans="1:11">
      <c r="A337">
        <v>1343</v>
      </c>
      <c r="B337" s="4" t="s">
        <v>143</v>
      </c>
      <c r="C337" t="s">
        <v>12</v>
      </c>
      <c r="D337" t="s">
        <v>22</v>
      </c>
      <c r="E337" s="8">
        <v>3687</v>
      </c>
      <c r="F337" s="8">
        <v>233</v>
      </c>
      <c r="G337" t="s">
        <v>18</v>
      </c>
      <c r="H337" t="s">
        <v>15</v>
      </c>
      <c r="I337">
        <f>F337/E337</f>
        <v>6.3195009492812579E-2</v>
      </c>
      <c r="J337">
        <f>YEAR(Table1[[#This Row],[Order Date]])</f>
        <v>2023</v>
      </c>
      <c r="K337" t="str">
        <f>TEXT(Table1[[#This Row],[Order Date]], "MMM")</f>
        <v>May</v>
      </c>
    </row>
    <row r="338" spans="1:11">
      <c r="A338">
        <v>1030</v>
      </c>
      <c r="B338" s="4" t="s">
        <v>144</v>
      </c>
      <c r="C338" t="s">
        <v>28</v>
      </c>
      <c r="D338" t="s">
        <v>22</v>
      </c>
      <c r="E338" s="8">
        <v>2933</v>
      </c>
      <c r="F338" s="8">
        <v>424</v>
      </c>
      <c r="G338" t="s">
        <v>30</v>
      </c>
      <c r="H338" t="s">
        <v>19</v>
      </c>
      <c r="I338">
        <f>F338/E338</f>
        <v>0.14456188203204909</v>
      </c>
      <c r="J338">
        <f>YEAR(Table1[[#This Row],[Order Date]])</f>
        <v>2023</v>
      </c>
      <c r="K338" t="str">
        <f>TEXT(Table1[[#This Row],[Order Date]], "MMM")</f>
        <v>May</v>
      </c>
    </row>
    <row r="339" spans="1:11">
      <c r="A339">
        <v>1707</v>
      </c>
      <c r="B339" s="4" t="s">
        <v>144</v>
      </c>
      <c r="C339" t="s">
        <v>28</v>
      </c>
      <c r="D339" t="s">
        <v>13</v>
      </c>
      <c r="E339" s="8">
        <v>3761</v>
      </c>
      <c r="F339" s="8">
        <v>823</v>
      </c>
      <c r="G339" t="s">
        <v>14</v>
      </c>
      <c r="H339" t="s">
        <v>15</v>
      </c>
      <c r="I339">
        <f>F339/E339</f>
        <v>0.2188247806434459</v>
      </c>
      <c r="J339">
        <f>YEAR(Table1[[#This Row],[Order Date]])</f>
        <v>2023</v>
      </c>
      <c r="K339" t="str">
        <f>TEXT(Table1[[#This Row],[Order Date]], "MMM")</f>
        <v>May</v>
      </c>
    </row>
    <row r="340" spans="1:11">
      <c r="A340">
        <v>1716</v>
      </c>
      <c r="B340" s="4" t="s">
        <v>144</v>
      </c>
      <c r="C340" t="s">
        <v>29</v>
      </c>
      <c r="D340" t="s">
        <v>25</v>
      </c>
      <c r="E340" s="8">
        <v>3455</v>
      </c>
      <c r="F340" s="8">
        <v>521</v>
      </c>
      <c r="G340" t="s">
        <v>23</v>
      </c>
      <c r="H340" t="s">
        <v>19</v>
      </c>
      <c r="I340">
        <f>F340/E340</f>
        <v>0.1507959479015919</v>
      </c>
      <c r="J340">
        <f>YEAR(Table1[[#This Row],[Order Date]])</f>
        <v>2023</v>
      </c>
      <c r="K340" t="str">
        <f>TEXT(Table1[[#This Row],[Order Date]], "MMM")</f>
        <v>May</v>
      </c>
    </row>
    <row r="341" spans="1:11">
      <c r="A341">
        <v>1487</v>
      </c>
      <c r="B341" s="4" t="s">
        <v>145</v>
      </c>
      <c r="C341" t="s">
        <v>28</v>
      </c>
      <c r="D341" t="s">
        <v>13</v>
      </c>
      <c r="E341" s="8">
        <v>1061</v>
      </c>
      <c r="F341" s="8">
        <v>862</v>
      </c>
      <c r="G341" t="s">
        <v>23</v>
      </c>
      <c r="H341" t="s">
        <v>15</v>
      </c>
      <c r="I341">
        <f>F341/E341</f>
        <v>0.8124410933081998</v>
      </c>
      <c r="J341">
        <f>YEAR(Table1[[#This Row],[Order Date]])</f>
        <v>2023</v>
      </c>
      <c r="K341" t="str">
        <f>TEXT(Table1[[#This Row],[Order Date]], "MMM")</f>
        <v>May</v>
      </c>
    </row>
    <row r="342" spans="1:11">
      <c r="A342">
        <v>1116</v>
      </c>
      <c r="B342" s="4" t="s">
        <v>146</v>
      </c>
      <c r="C342" t="s">
        <v>17</v>
      </c>
      <c r="D342" t="s">
        <v>22</v>
      </c>
      <c r="E342" s="8">
        <v>533</v>
      </c>
      <c r="F342" s="8">
        <v>814</v>
      </c>
      <c r="G342" t="s">
        <v>18</v>
      </c>
      <c r="H342" t="s">
        <v>19</v>
      </c>
      <c r="I342">
        <f>F342/E342</f>
        <v>1.5272045028142589</v>
      </c>
      <c r="J342">
        <f>YEAR(Table1[[#This Row],[Order Date]])</f>
        <v>2023</v>
      </c>
      <c r="K342" t="str">
        <f>TEXT(Table1[[#This Row],[Order Date]], "MMM")</f>
        <v>May</v>
      </c>
    </row>
    <row r="343" spans="1:11">
      <c r="A343">
        <v>1199</v>
      </c>
      <c r="B343" s="4" t="s">
        <v>146</v>
      </c>
      <c r="C343" t="s">
        <v>27</v>
      </c>
      <c r="D343" t="s">
        <v>25</v>
      </c>
      <c r="E343" s="8">
        <v>1754</v>
      </c>
      <c r="F343" s="8">
        <v>545</v>
      </c>
      <c r="G343" t="s">
        <v>18</v>
      </c>
      <c r="H343" t="s">
        <v>15</v>
      </c>
      <c r="I343">
        <f>F343/E343</f>
        <v>0.31071835803876852</v>
      </c>
      <c r="J343">
        <f>YEAR(Table1[[#This Row],[Order Date]])</f>
        <v>2023</v>
      </c>
      <c r="K343" t="str">
        <f>TEXT(Table1[[#This Row],[Order Date]], "MMM")</f>
        <v>May</v>
      </c>
    </row>
    <row r="344" spans="1:11">
      <c r="A344">
        <v>1603</v>
      </c>
      <c r="B344" s="4" t="s">
        <v>146</v>
      </c>
      <c r="C344" t="s">
        <v>21</v>
      </c>
      <c r="D344" t="s">
        <v>22</v>
      </c>
      <c r="E344" s="8">
        <v>4010</v>
      </c>
      <c r="F344" s="8">
        <v>208</v>
      </c>
      <c r="G344" t="s">
        <v>18</v>
      </c>
      <c r="H344" t="s">
        <v>19</v>
      </c>
      <c r="I344">
        <f>F344/E344</f>
        <v>5.1870324189526182E-2</v>
      </c>
      <c r="J344">
        <f>YEAR(Table1[[#This Row],[Order Date]])</f>
        <v>2023</v>
      </c>
      <c r="K344" t="str">
        <f>TEXT(Table1[[#This Row],[Order Date]], "MMM")</f>
        <v>May</v>
      </c>
    </row>
    <row r="345" spans="1:11">
      <c r="A345">
        <v>1821</v>
      </c>
      <c r="B345" s="4" t="s">
        <v>146</v>
      </c>
      <c r="C345" t="s">
        <v>21</v>
      </c>
      <c r="D345" t="s">
        <v>22</v>
      </c>
      <c r="E345" s="8">
        <v>4225</v>
      </c>
      <c r="F345" s="8">
        <v>950</v>
      </c>
      <c r="G345" t="s">
        <v>18</v>
      </c>
      <c r="H345" t="s">
        <v>19</v>
      </c>
      <c r="I345">
        <f>F345/E345</f>
        <v>0.22485207100591717</v>
      </c>
      <c r="J345">
        <f>YEAR(Table1[[#This Row],[Order Date]])</f>
        <v>2023</v>
      </c>
      <c r="K345" t="str">
        <f>TEXT(Table1[[#This Row],[Order Date]], "MMM")</f>
        <v>May</v>
      </c>
    </row>
    <row r="346" spans="1:11">
      <c r="A346">
        <v>1594</v>
      </c>
      <c r="B346" s="4" t="s">
        <v>147</v>
      </c>
      <c r="C346" t="s">
        <v>12</v>
      </c>
      <c r="D346" t="s">
        <v>25</v>
      </c>
      <c r="E346" s="8">
        <v>1997</v>
      </c>
      <c r="F346" s="8">
        <v>196</v>
      </c>
      <c r="G346" t="s">
        <v>14</v>
      </c>
      <c r="H346" t="s">
        <v>19</v>
      </c>
      <c r="I346">
        <f>F346/E346</f>
        <v>9.814722083124687E-2</v>
      </c>
      <c r="J346">
        <f>YEAR(Table1[[#This Row],[Order Date]])</f>
        <v>2023</v>
      </c>
      <c r="K346" t="str">
        <f>TEXT(Table1[[#This Row],[Order Date]], "MMM")</f>
        <v>May</v>
      </c>
    </row>
    <row r="347" spans="1:11">
      <c r="A347">
        <v>1600</v>
      </c>
      <c r="B347" s="4" t="s">
        <v>147</v>
      </c>
      <c r="C347" t="s">
        <v>17</v>
      </c>
      <c r="D347" t="s">
        <v>13</v>
      </c>
      <c r="E347" s="8">
        <v>523</v>
      </c>
      <c r="F347" s="8">
        <v>610</v>
      </c>
      <c r="G347" t="s">
        <v>30</v>
      </c>
      <c r="H347" t="s">
        <v>15</v>
      </c>
      <c r="I347">
        <f>F347/E347</f>
        <v>1.1663479923518165</v>
      </c>
      <c r="J347">
        <f>YEAR(Table1[[#This Row],[Order Date]])</f>
        <v>2023</v>
      </c>
      <c r="K347" t="str">
        <f>TEXT(Table1[[#This Row],[Order Date]], "MMM")</f>
        <v>May</v>
      </c>
    </row>
    <row r="348" spans="1:11">
      <c r="A348">
        <v>1728</v>
      </c>
      <c r="B348" s="4" t="s">
        <v>147</v>
      </c>
      <c r="C348" t="s">
        <v>21</v>
      </c>
      <c r="D348" t="s">
        <v>25</v>
      </c>
      <c r="E348" s="8">
        <v>475</v>
      </c>
      <c r="F348" s="8">
        <v>129</v>
      </c>
      <c r="G348" t="s">
        <v>23</v>
      </c>
      <c r="H348" t="s">
        <v>19</v>
      </c>
      <c r="I348">
        <f>F348/E348</f>
        <v>0.27157894736842103</v>
      </c>
      <c r="J348">
        <f>YEAR(Table1[[#This Row],[Order Date]])</f>
        <v>2023</v>
      </c>
      <c r="K348" t="str">
        <f>TEXT(Table1[[#This Row],[Order Date]], "MMM")</f>
        <v>May</v>
      </c>
    </row>
    <row r="349" spans="1:11">
      <c r="A349">
        <v>1773</v>
      </c>
      <c r="B349" s="4" t="s">
        <v>147</v>
      </c>
      <c r="C349" t="s">
        <v>12</v>
      </c>
      <c r="D349" t="s">
        <v>22</v>
      </c>
      <c r="E349" s="8">
        <v>4018</v>
      </c>
      <c r="F349" s="8">
        <v>516</v>
      </c>
      <c r="G349" t="s">
        <v>30</v>
      </c>
      <c r="H349" t="s">
        <v>15</v>
      </c>
      <c r="I349">
        <f>F349/E349</f>
        <v>0.12842210054753608</v>
      </c>
      <c r="J349">
        <f>YEAR(Table1[[#This Row],[Order Date]])</f>
        <v>2023</v>
      </c>
      <c r="K349" t="str">
        <f>TEXT(Table1[[#This Row],[Order Date]], "MMM")</f>
        <v>May</v>
      </c>
    </row>
    <row r="350" spans="1:11">
      <c r="A350">
        <v>1495</v>
      </c>
      <c r="B350" s="4" t="s">
        <v>148</v>
      </c>
      <c r="C350" t="s">
        <v>12</v>
      </c>
      <c r="D350" t="s">
        <v>22</v>
      </c>
      <c r="E350" s="8">
        <v>1540</v>
      </c>
      <c r="F350" s="8">
        <v>155</v>
      </c>
      <c r="G350" t="s">
        <v>30</v>
      </c>
      <c r="H350" t="s">
        <v>19</v>
      </c>
      <c r="I350">
        <f>F350/E350</f>
        <v>0.10064935064935066</v>
      </c>
      <c r="J350">
        <f>YEAR(Table1[[#This Row],[Order Date]])</f>
        <v>2023</v>
      </c>
      <c r="K350" t="str">
        <f>TEXT(Table1[[#This Row],[Order Date]], "MMM")</f>
        <v>May</v>
      </c>
    </row>
    <row r="351" spans="1:11">
      <c r="A351">
        <v>1539</v>
      </c>
      <c r="B351" s="4" t="s">
        <v>148</v>
      </c>
      <c r="C351" t="s">
        <v>28</v>
      </c>
      <c r="D351" t="s">
        <v>22</v>
      </c>
      <c r="E351" s="8">
        <v>1866</v>
      </c>
      <c r="F351" s="8">
        <v>414</v>
      </c>
      <c r="G351" t="s">
        <v>23</v>
      </c>
      <c r="H351" t="s">
        <v>15</v>
      </c>
      <c r="I351">
        <f>F351/E351</f>
        <v>0.22186495176848875</v>
      </c>
      <c r="J351">
        <f>YEAR(Table1[[#This Row],[Order Date]])</f>
        <v>2023</v>
      </c>
      <c r="K351" t="str">
        <f>TEXT(Table1[[#This Row],[Order Date]], "MMM")</f>
        <v>May</v>
      </c>
    </row>
    <row r="352" spans="1:11">
      <c r="A352">
        <v>1613</v>
      </c>
      <c r="B352" s="4" t="s">
        <v>148</v>
      </c>
      <c r="C352" t="s">
        <v>28</v>
      </c>
      <c r="D352" t="s">
        <v>22</v>
      </c>
      <c r="E352" s="8">
        <v>427</v>
      </c>
      <c r="F352" s="8">
        <v>818</v>
      </c>
      <c r="G352" t="s">
        <v>30</v>
      </c>
      <c r="H352" t="s">
        <v>15</v>
      </c>
      <c r="I352">
        <f>F352/E352</f>
        <v>1.9156908665105385</v>
      </c>
      <c r="J352">
        <f>YEAR(Table1[[#This Row],[Order Date]])</f>
        <v>2023</v>
      </c>
      <c r="K352" t="str">
        <f>TEXT(Table1[[#This Row],[Order Date]], "MMM")</f>
        <v>May</v>
      </c>
    </row>
    <row r="353" spans="1:11">
      <c r="A353">
        <v>1157</v>
      </c>
      <c r="B353" s="4" t="s">
        <v>149</v>
      </c>
      <c r="C353" t="s">
        <v>27</v>
      </c>
      <c r="D353" t="s">
        <v>25</v>
      </c>
      <c r="E353" s="8">
        <v>1787</v>
      </c>
      <c r="F353" s="8">
        <v>829</v>
      </c>
      <c r="G353" t="s">
        <v>18</v>
      </c>
      <c r="H353" t="s">
        <v>19</v>
      </c>
      <c r="I353">
        <f>F353/E353</f>
        <v>0.46390598768886404</v>
      </c>
      <c r="J353">
        <f>YEAR(Table1[[#This Row],[Order Date]])</f>
        <v>2023</v>
      </c>
      <c r="K353" t="str">
        <f>TEXT(Table1[[#This Row],[Order Date]], "MMM")</f>
        <v>May</v>
      </c>
    </row>
    <row r="354" spans="1:11">
      <c r="A354">
        <v>1745</v>
      </c>
      <c r="B354" s="4" t="s">
        <v>149</v>
      </c>
      <c r="C354" t="s">
        <v>28</v>
      </c>
      <c r="D354" t="s">
        <v>13</v>
      </c>
      <c r="E354" s="8">
        <v>4595</v>
      </c>
      <c r="F354" s="8">
        <v>464</v>
      </c>
      <c r="G354" t="s">
        <v>30</v>
      </c>
      <c r="H354" t="s">
        <v>19</v>
      </c>
      <c r="I354">
        <f>F354/E354</f>
        <v>0.10097932535364526</v>
      </c>
      <c r="J354">
        <f>YEAR(Table1[[#This Row],[Order Date]])</f>
        <v>2023</v>
      </c>
      <c r="K354" t="str">
        <f>TEXT(Table1[[#This Row],[Order Date]], "MMM")</f>
        <v>May</v>
      </c>
    </row>
    <row r="355" spans="1:11">
      <c r="A355">
        <v>1770</v>
      </c>
      <c r="B355" s="4" t="s">
        <v>149</v>
      </c>
      <c r="C355" t="s">
        <v>27</v>
      </c>
      <c r="D355" t="s">
        <v>22</v>
      </c>
      <c r="E355" s="8">
        <v>2427</v>
      </c>
      <c r="F355" s="8">
        <v>49</v>
      </c>
      <c r="G355" t="s">
        <v>30</v>
      </c>
      <c r="H355" t="s">
        <v>15</v>
      </c>
      <c r="I355">
        <f>F355/E355</f>
        <v>2.018953440461475E-2</v>
      </c>
      <c r="J355">
        <f>YEAR(Table1[[#This Row],[Order Date]])</f>
        <v>2023</v>
      </c>
      <c r="K355" t="str">
        <f>TEXT(Table1[[#This Row],[Order Date]], "MMM")</f>
        <v>May</v>
      </c>
    </row>
    <row r="356" spans="1:11">
      <c r="A356">
        <v>1512</v>
      </c>
      <c r="B356" s="4" t="s">
        <v>150</v>
      </c>
      <c r="C356" t="s">
        <v>29</v>
      </c>
      <c r="D356" t="s">
        <v>13</v>
      </c>
      <c r="E356" s="8">
        <v>4264</v>
      </c>
      <c r="F356" s="8">
        <v>984</v>
      </c>
      <c r="G356" t="s">
        <v>14</v>
      </c>
      <c r="H356" t="s">
        <v>19</v>
      </c>
      <c r="I356">
        <f>F356/E356</f>
        <v>0.23076923076923078</v>
      </c>
      <c r="J356">
        <f>YEAR(Table1[[#This Row],[Order Date]])</f>
        <v>2023</v>
      </c>
      <c r="K356" t="str">
        <f>TEXT(Table1[[#This Row],[Order Date]], "MMM")</f>
        <v>May</v>
      </c>
    </row>
    <row r="357" spans="1:11">
      <c r="A357">
        <v>1599</v>
      </c>
      <c r="B357" s="4" t="s">
        <v>150</v>
      </c>
      <c r="C357" t="s">
        <v>27</v>
      </c>
      <c r="D357" t="s">
        <v>25</v>
      </c>
      <c r="E357" s="8">
        <v>1831</v>
      </c>
      <c r="F357" s="8">
        <v>495</v>
      </c>
      <c r="G357" t="s">
        <v>30</v>
      </c>
      <c r="H357" t="s">
        <v>15</v>
      </c>
      <c r="I357">
        <f>F357/E357</f>
        <v>0.27034407427635171</v>
      </c>
      <c r="J357">
        <f>YEAR(Table1[[#This Row],[Order Date]])</f>
        <v>2023</v>
      </c>
      <c r="K357" t="str">
        <f>TEXT(Table1[[#This Row],[Order Date]], "MMM")</f>
        <v>May</v>
      </c>
    </row>
    <row r="358" spans="1:11">
      <c r="A358">
        <v>1736</v>
      </c>
      <c r="B358" s="4" t="s">
        <v>150</v>
      </c>
      <c r="C358" t="s">
        <v>24</v>
      </c>
      <c r="D358" t="s">
        <v>22</v>
      </c>
      <c r="E358" s="8">
        <v>1610</v>
      </c>
      <c r="F358" s="8">
        <v>87</v>
      </c>
      <c r="G358" t="s">
        <v>30</v>
      </c>
      <c r="H358" t="s">
        <v>15</v>
      </c>
      <c r="I358">
        <f>F358/E358</f>
        <v>5.4037267080745341E-2</v>
      </c>
      <c r="J358">
        <f>YEAR(Table1[[#This Row],[Order Date]])</f>
        <v>2023</v>
      </c>
      <c r="K358" t="str">
        <f>TEXT(Table1[[#This Row],[Order Date]], "MMM")</f>
        <v>May</v>
      </c>
    </row>
    <row r="359" spans="1:11">
      <c r="A359">
        <v>1141</v>
      </c>
      <c r="B359" s="4" t="s">
        <v>151</v>
      </c>
      <c r="C359" t="s">
        <v>12</v>
      </c>
      <c r="D359" t="s">
        <v>13</v>
      </c>
      <c r="E359" s="8">
        <v>1831</v>
      </c>
      <c r="F359" s="8">
        <v>104</v>
      </c>
      <c r="G359" t="s">
        <v>18</v>
      </c>
      <c r="H359" t="s">
        <v>15</v>
      </c>
      <c r="I359">
        <f>F359/E359</f>
        <v>5.6799563080283999E-2</v>
      </c>
      <c r="J359">
        <f>YEAR(Table1[[#This Row],[Order Date]])</f>
        <v>2023</v>
      </c>
      <c r="K359" t="str">
        <f>TEXT(Table1[[#This Row],[Order Date]], "MMM")</f>
        <v>May</v>
      </c>
    </row>
    <row r="360" spans="1:11">
      <c r="A360">
        <v>1246</v>
      </c>
      <c r="B360" s="4" t="s">
        <v>151</v>
      </c>
      <c r="C360" t="s">
        <v>17</v>
      </c>
      <c r="D360" t="s">
        <v>13</v>
      </c>
      <c r="E360" s="8">
        <v>4348</v>
      </c>
      <c r="F360" s="8">
        <v>445</v>
      </c>
      <c r="G360" t="s">
        <v>30</v>
      </c>
      <c r="H360" t="s">
        <v>15</v>
      </c>
      <c r="I360">
        <f>F360/E360</f>
        <v>0.10234590616375346</v>
      </c>
      <c r="J360">
        <f>YEAR(Table1[[#This Row],[Order Date]])</f>
        <v>2023</v>
      </c>
      <c r="K360" t="str">
        <f>TEXT(Table1[[#This Row],[Order Date]], "MMM")</f>
        <v>May</v>
      </c>
    </row>
    <row r="361" spans="1:11">
      <c r="A361">
        <v>1870</v>
      </c>
      <c r="B361" s="4" t="s">
        <v>152</v>
      </c>
      <c r="C361" t="s">
        <v>12</v>
      </c>
      <c r="D361" t="s">
        <v>22</v>
      </c>
      <c r="E361" s="8">
        <v>3973</v>
      </c>
      <c r="F361" s="8">
        <v>645</v>
      </c>
      <c r="G361" t="s">
        <v>30</v>
      </c>
      <c r="H361" t="s">
        <v>15</v>
      </c>
      <c r="I361">
        <f>F361/E361</f>
        <v>0.16234583438207903</v>
      </c>
      <c r="J361">
        <f>YEAR(Table1[[#This Row],[Order Date]])</f>
        <v>2023</v>
      </c>
      <c r="K361" t="str">
        <f>TEXT(Table1[[#This Row],[Order Date]], "MMM")</f>
        <v>May</v>
      </c>
    </row>
    <row r="362" spans="1:11">
      <c r="A362">
        <v>1112</v>
      </c>
      <c r="B362" s="4" t="s">
        <v>153</v>
      </c>
      <c r="C362" t="s">
        <v>29</v>
      </c>
      <c r="D362" t="s">
        <v>22</v>
      </c>
      <c r="E362" s="8">
        <v>470</v>
      </c>
      <c r="F362" s="8">
        <v>505</v>
      </c>
      <c r="G362" t="s">
        <v>18</v>
      </c>
      <c r="H362" t="s">
        <v>15</v>
      </c>
      <c r="I362">
        <f>F362/E362</f>
        <v>1.074468085106383</v>
      </c>
      <c r="J362">
        <f>YEAR(Table1[[#This Row],[Order Date]])</f>
        <v>2023</v>
      </c>
      <c r="K362" t="str">
        <f>TEXT(Table1[[#This Row],[Order Date]], "MMM")</f>
        <v>May</v>
      </c>
    </row>
    <row r="363" spans="1:11">
      <c r="A363">
        <v>1514</v>
      </c>
      <c r="B363" s="4" t="s">
        <v>153</v>
      </c>
      <c r="C363" t="s">
        <v>28</v>
      </c>
      <c r="D363" t="s">
        <v>22</v>
      </c>
      <c r="E363" s="8">
        <v>3381</v>
      </c>
      <c r="F363" s="8">
        <v>137</v>
      </c>
      <c r="G363" t="s">
        <v>30</v>
      </c>
      <c r="H363" t="s">
        <v>19</v>
      </c>
      <c r="I363">
        <f>F363/E363</f>
        <v>4.0520556048506358E-2</v>
      </c>
      <c r="J363">
        <f>YEAR(Table1[[#This Row],[Order Date]])</f>
        <v>2023</v>
      </c>
      <c r="K363" t="str">
        <f>TEXT(Table1[[#This Row],[Order Date]], "MMM")</f>
        <v>May</v>
      </c>
    </row>
    <row r="364" spans="1:11">
      <c r="A364">
        <v>1601</v>
      </c>
      <c r="B364" s="4" t="s">
        <v>153</v>
      </c>
      <c r="C364" t="s">
        <v>27</v>
      </c>
      <c r="D364" t="s">
        <v>25</v>
      </c>
      <c r="E364" s="8">
        <v>4690</v>
      </c>
      <c r="F364" s="8">
        <v>307</v>
      </c>
      <c r="G364" t="s">
        <v>18</v>
      </c>
      <c r="H364" t="s">
        <v>15</v>
      </c>
      <c r="I364">
        <f>F364/E364</f>
        <v>6.5458422174840089E-2</v>
      </c>
      <c r="J364">
        <f>YEAR(Table1[[#This Row],[Order Date]])</f>
        <v>2023</v>
      </c>
      <c r="K364" t="str">
        <f>TEXT(Table1[[#This Row],[Order Date]], "MMM")</f>
        <v>May</v>
      </c>
    </row>
    <row r="365" spans="1:11">
      <c r="A365">
        <v>1774</v>
      </c>
      <c r="B365" s="4" t="s">
        <v>153</v>
      </c>
      <c r="C365" t="s">
        <v>12</v>
      </c>
      <c r="D365" t="s">
        <v>22</v>
      </c>
      <c r="E365" s="8">
        <v>4774</v>
      </c>
      <c r="F365" s="8">
        <v>809</v>
      </c>
      <c r="G365" t="s">
        <v>23</v>
      </c>
      <c r="H365" t="s">
        <v>19</v>
      </c>
      <c r="I365">
        <f>F365/E365</f>
        <v>0.16945957268537915</v>
      </c>
      <c r="J365">
        <f>YEAR(Table1[[#This Row],[Order Date]])</f>
        <v>2023</v>
      </c>
      <c r="K365" t="str">
        <f>TEXT(Table1[[#This Row],[Order Date]], "MMM")</f>
        <v>May</v>
      </c>
    </row>
    <row r="366" spans="1:11">
      <c r="A366">
        <v>1908</v>
      </c>
      <c r="B366" s="4" t="s">
        <v>153</v>
      </c>
      <c r="C366" t="s">
        <v>12</v>
      </c>
      <c r="D366" t="s">
        <v>25</v>
      </c>
      <c r="E366" s="8">
        <v>4415</v>
      </c>
      <c r="F366" s="8">
        <v>1000</v>
      </c>
      <c r="G366" t="s">
        <v>23</v>
      </c>
      <c r="H366" t="s">
        <v>15</v>
      </c>
      <c r="I366">
        <f>F366/E366</f>
        <v>0.22650056625141562</v>
      </c>
      <c r="J366">
        <f>YEAR(Table1[[#This Row],[Order Date]])</f>
        <v>2023</v>
      </c>
      <c r="K366" t="str">
        <f>TEXT(Table1[[#This Row],[Order Date]], "MMM")</f>
        <v>May</v>
      </c>
    </row>
    <row r="367" spans="1:11">
      <c r="A367">
        <v>1465</v>
      </c>
      <c r="B367" s="4" t="s">
        <v>154</v>
      </c>
      <c r="C367" t="s">
        <v>21</v>
      </c>
      <c r="D367" t="s">
        <v>13</v>
      </c>
      <c r="E367" s="8">
        <v>1410</v>
      </c>
      <c r="F367" s="8">
        <v>543</v>
      </c>
      <c r="G367" t="s">
        <v>14</v>
      </c>
      <c r="H367" t="s">
        <v>19</v>
      </c>
      <c r="I367">
        <f>F367/E367</f>
        <v>0.3851063829787234</v>
      </c>
      <c r="J367">
        <f>YEAR(Table1[[#This Row],[Order Date]])</f>
        <v>2023</v>
      </c>
      <c r="K367" t="str">
        <f>TEXT(Table1[[#This Row],[Order Date]], "MMM")</f>
        <v>May</v>
      </c>
    </row>
    <row r="368" spans="1:11">
      <c r="A368">
        <v>1526</v>
      </c>
      <c r="B368" s="4" t="s">
        <v>154</v>
      </c>
      <c r="C368" t="s">
        <v>28</v>
      </c>
      <c r="D368" t="s">
        <v>13</v>
      </c>
      <c r="E368" s="8">
        <v>4450</v>
      </c>
      <c r="F368" s="8">
        <v>832</v>
      </c>
      <c r="G368" t="s">
        <v>30</v>
      </c>
      <c r="H368" t="s">
        <v>15</v>
      </c>
      <c r="I368">
        <f>F368/E368</f>
        <v>0.18696629213483146</v>
      </c>
      <c r="J368">
        <f>YEAR(Table1[[#This Row],[Order Date]])</f>
        <v>2023</v>
      </c>
      <c r="K368" t="str">
        <f>TEXT(Table1[[#This Row],[Order Date]], "MMM")</f>
        <v>May</v>
      </c>
    </row>
    <row r="369" spans="1:11">
      <c r="A369">
        <v>1665</v>
      </c>
      <c r="B369" s="4" t="s">
        <v>154</v>
      </c>
      <c r="C369" t="s">
        <v>27</v>
      </c>
      <c r="D369" t="s">
        <v>13</v>
      </c>
      <c r="E369" s="8">
        <v>3420</v>
      </c>
      <c r="F369" s="8">
        <v>381</v>
      </c>
      <c r="G369" t="s">
        <v>18</v>
      </c>
      <c r="H369" t="s">
        <v>19</v>
      </c>
      <c r="I369">
        <f>F369/E369</f>
        <v>0.11140350877192982</v>
      </c>
      <c r="J369">
        <f>YEAR(Table1[[#This Row],[Order Date]])</f>
        <v>2023</v>
      </c>
      <c r="K369" t="str">
        <f>TEXT(Table1[[#This Row],[Order Date]], "MMM")</f>
        <v>May</v>
      </c>
    </row>
    <row r="370" spans="1:11">
      <c r="A370">
        <v>1066</v>
      </c>
      <c r="B370" s="4" t="s">
        <v>155</v>
      </c>
      <c r="C370" t="s">
        <v>28</v>
      </c>
      <c r="D370" t="s">
        <v>13</v>
      </c>
      <c r="E370" s="8">
        <v>2091</v>
      </c>
      <c r="F370" s="8">
        <v>747</v>
      </c>
      <c r="G370" t="s">
        <v>18</v>
      </c>
      <c r="H370" t="s">
        <v>19</v>
      </c>
      <c r="I370">
        <f>F370/E370</f>
        <v>0.35724533715925394</v>
      </c>
      <c r="J370">
        <f>YEAR(Table1[[#This Row],[Order Date]])</f>
        <v>2023</v>
      </c>
      <c r="K370" t="str">
        <f>TEXT(Table1[[#This Row],[Order Date]], "MMM")</f>
        <v>May</v>
      </c>
    </row>
    <row r="371" spans="1:11">
      <c r="A371">
        <v>1069</v>
      </c>
      <c r="B371" s="4" t="s">
        <v>155</v>
      </c>
      <c r="C371" t="s">
        <v>29</v>
      </c>
      <c r="D371" t="s">
        <v>25</v>
      </c>
      <c r="E371" s="8">
        <v>1094</v>
      </c>
      <c r="F371" s="8">
        <v>336</v>
      </c>
      <c r="G371" t="s">
        <v>18</v>
      </c>
      <c r="H371" t="s">
        <v>15</v>
      </c>
      <c r="I371">
        <f>F371/E371</f>
        <v>0.30712979890310788</v>
      </c>
      <c r="J371">
        <f>YEAR(Table1[[#This Row],[Order Date]])</f>
        <v>2023</v>
      </c>
      <c r="K371" t="str">
        <f>TEXT(Table1[[#This Row],[Order Date]], "MMM")</f>
        <v>May</v>
      </c>
    </row>
    <row r="372" spans="1:11">
      <c r="A372">
        <v>1424</v>
      </c>
      <c r="B372" s="4" t="s">
        <v>155</v>
      </c>
      <c r="C372" t="s">
        <v>21</v>
      </c>
      <c r="D372" t="s">
        <v>25</v>
      </c>
      <c r="E372" s="8">
        <v>911</v>
      </c>
      <c r="F372" s="8">
        <v>486</v>
      </c>
      <c r="G372" t="s">
        <v>30</v>
      </c>
      <c r="H372" t="s">
        <v>15</v>
      </c>
      <c r="I372">
        <f>F372/E372</f>
        <v>0.53347969264544459</v>
      </c>
      <c r="J372">
        <f>YEAR(Table1[[#This Row],[Order Date]])</f>
        <v>2023</v>
      </c>
      <c r="K372" t="str">
        <f>TEXT(Table1[[#This Row],[Order Date]], "MMM")</f>
        <v>May</v>
      </c>
    </row>
    <row r="373" spans="1:11">
      <c r="A373">
        <v>1457</v>
      </c>
      <c r="B373" s="4" t="s">
        <v>155</v>
      </c>
      <c r="C373" t="s">
        <v>24</v>
      </c>
      <c r="D373" t="s">
        <v>25</v>
      </c>
      <c r="E373" s="8">
        <v>1628</v>
      </c>
      <c r="F373" s="8">
        <v>927</v>
      </c>
      <c r="G373" t="s">
        <v>30</v>
      </c>
      <c r="H373" t="s">
        <v>19</v>
      </c>
      <c r="I373">
        <f>F373/E373</f>
        <v>0.56941031941031939</v>
      </c>
      <c r="J373">
        <f>YEAR(Table1[[#This Row],[Order Date]])</f>
        <v>2023</v>
      </c>
      <c r="K373" t="str">
        <f>TEXT(Table1[[#This Row],[Order Date]], "MMM")</f>
        <v>May</v>
      </c>
    </row>
    <row r="374" spans="1:11">
      <c r="A374">
        <v>1282</v>
      </c>
      <c r="B374" s="4" t="s">
        <v>156</v>
      </c>
      <c r="C374" t="s">
        <v>27</v>
      </c>
      <c r="D374" t="s">
        <v>22</v>
      </c>
      <c r="E374" s="8">
        <v>3933</v>
      </c>
      <c r="F374" s="8">
        <v>344</v>
      </c>
      <c r="G374" t="s">
        <v>14</v>
      </c>
      <c r="H374" t="s">
        <v>15</v>
      </c>
      <c r="I374">
        <f>F374/E374</f>
        <v>8.7465039410119502E-2</v>
      </c>
      <c r="J374">
        <f>YEAR(Table1[[#This Row],[Order Date]])</f>
        <v>2023</v>
      </c>
      <c r="K374" t="str">
        <f>TEXT(Table1[[#This Row],[Order Date]], "MMM")</f>
        <v>May</v>
      </c>
    </row>
    <row r="375" spans="1:11">
      <c r="A375">
        <v>1280</v>
      </c>
      <c r="B375" s="4" t="s">
        <v>157</v>
      </c>
      <c r="C375" t="s">
        <v>28</v>
      </c>
      <c r="D375" t="s">
        <v>13</v>
      </c>
      <c r="E375" s="8">
        <v>3846</v>
      </c>
      <c r="F375" s="8">
        <v>185</v>
      </c>
      <c r="G375" t="s">
        <v>18</v>
      </c>
      <c r="H375" t="s">
        <v>19</v>
      </c>
      <c r="I375">
        <f>F375/E375</f>
        <v>4.8101924076963079E-2</v>
      </c>
      <c r="J375">
        <f>YEAR(Table1[[#This Row],[Order Date]])</f>
        <v>2023</v>
      </c>
      <c r="K375" t="str">
        <f>TEXT(Table1[[#This Row],[Order Date]], "MMM")</f>
        <v>May</v>
      </c>
    </row>
    <row r="376" spans="1:11">
      <c r="A376">
        <v>1538</v>
      </c>
      <c r="B376" s="4" t="s">
        <v>157</v>
      </c>
      <c r="C376" t="s">
        <v>27</v>
      </c>
      <c r="D376" t="s">
        <v>22</v>
      </c>
      <c r="E376" s="8">
        <v>2162</v>
      </c>
      <c r="F376" s="8">
        <v>410</v>
      </c>
      <c r="G376" t="s">
        <v>14</v>
      </c>
      <c r="H376" t="s">
        <v>15</v>
      </c>
      <c r="I376">
        <f>F376/E376</f>
        <v>0.18963922294172064</v>
      </c>
      <c r="J376">
        <f>YEAR(Table1[[#This Row],[Order Date]])</f>
        <v>2023</v>
      </c>
      <c r="K376" t="str">
        <f>TEXT(Table1[[#This Row],[Order Date]], "MMM")</f>
        <v>May</v>
      </c>
    </row>
    <row r="377" spans="1:11">
      <c r="A377">
        <v>1638</v>
      </c>
      <c r="B377" s="4" t="s">
        <v>157</v>
      </c>
      <c r="C377" t="s">
        <v>27</v>
      </c>
      <c r="D377" t="s">
        <v>22</v>
      </c>
      <c r="E377" s="8">
        <v>1124</v>
      </c>
      <c r="F377" s="8">
        <v>296</v>
      </c>
      <c r="G377" t="s">
        <v>14</v>
      </c>
      <c r="H377" t="s">
        <v>15</v>
      </c>
      <c r="I377">
        <f>F377/E377</f>
        <v>0.26334519572953735</v>
      </c>
      <c r="J377">
        <f>YEAR(Table1[[#This Row],[Order Date]])</f>
        <v>2023</v>
      </c>
      <c r="K377" t="str">
        <f>TEXT(Table1[[#This Row],[Order Date]], "MMM")</f>
        <v>May</v>
      </c>
    </row>
    <row r="378" spans="1:11">
      <c r="A378">
        <v>1724</v>
      </c>
      <c r="B378" s="4" t="s">
        <v>157</v>
      </c>
      <c r="C378" t="s">
        <v>12</v>
      </c>
      <c r="D378" t="s">
        <v>13</v>
      </c>
      <c r="E378" s="8">
        <v>1867</v>
      </c>
      <c r="F378" s="8">
        <v>682</v>
      </c>
      <c r="G378" t="s">
        <v>30</v>
      </c>
      <c r="H378" t="s">
        <v>19</v>
      </c>
      <c r="I378">
        <f>F378/E378</f>
        <v>0.36529191215854312</v>
      </c>
      <c r="J378">
        <f>YEAR(Table1[[#This Row],[Order Date]])</f>
        <v>2023</v>
      </c>
      <c r="K378" t="str">
        <f>TEXT(Table1[[#This Row],[Order Date]], "MMM")</f>
        <v>May</v>
      </c>
    </row>
    <row r="379" spans="1:11">
      <c r="A379">
        <v>1004</v>
      </c>
      <c r="B379" s="4" t="s">
        <v>158</v>
      </c>
      <c r="C379" t="s">
        <v>12</v>
      </c>
      <c r="D379" t="s">
        <v>22</v>
      </c>
      <c r="E379" s="8">
        <v>4696</v>
      </c>
      <c r="F379" s="8">
        <v>623</v>
      </c>
      <c r="G379" t="s">
        <v>23</v>
      </c>
      <c r="H379" t="s">
        <v>15</v>
      </c>
      <c r="I379">
        <f>F379/E379</f>
        <v>0.13266609880749575</v>
      </c>
      <c r="J379">
        <f>YEAR(Table1[[#This Row],[Order Date]])</f>
        <v>2023</v>
      </c>
      <c r="K379" t="str">
        <f>TEXT(Table1[[#This Row],[Order Date]], "MMM")</f>
        <v>May</v>
      </c>
    </row>
    <row r="380" spans="1:11">
      <c r="A380">
        <v>1015</v>
      </c>
      <c r="B380" s="4" t="s">
        <v>158</v>
      </c>
      <c r="C380" t="s">
        <v>12</v>
      </c>
      <c r="D380" t="s">
        <v>13</v>
      </c>
      <c r="E380" s="8">
        <v>4534</v>
      </c>
      <c r="F380" s="8">
        <v>942</v>
      </c>
      <c r="G380" t="s">
        <v>18</v>
      </c>
      <c r="H380" t="s">
        <v>15</v>
      </c>
      <c r="I380">
        <f>F380/E380</f>
        <v>0.20776356418173797</v>
      </c>
      <c r="J380">
        <f>YEAR(Table1[[#This Row],[Order Date]])</f>
        <v>2023</v>
      </c>
      <c r="K380" t="str">
        <f>TEXT(Table1[[#This Row],[Order Date]], "MMM")</f>
        <v>May</v>
      </c>
    </row>
    <row r="381" spans="1:11">
      <c r="A381">
        <v>1109</v>
      </c>
      <c r="B381" s="4" t="s">
        <v>158</v>
      </c>
      <c r="C381" t="s">
        <v>29</v>
      </c>
      <c r="D381" t="s">
        <v>25</v>
      </c>
      <c r="E381" s="8">
        <v>1053</v>
      </c>
      <c r="F381" s="8">
        <v>417</v>
      </c>
      <c r="G381" t="s">
        <v>14</v>
      </c>
      <c r="H381" t="s">
        <v>15</v>
      </c>
      <c r="I381">
        <f>F381/E381</f>
        <v>0.39601139601139601</v>
      </c>
      <c r="J381">
        <f>YEAR(Table1[[#This Row],[Order Date]])</f>
        <v>2023</v>
      </c>
      <c r="K381" t="str">
        <f>TEXT(Table1[[#This Row],[Order Date]], "MMM")</f>
        <v>May</v>
      </c>
    </row>
    <row r="382" spans="1:11">
      <c r="A382">
        <v>1254</v>
      </c>
      <c r="B382" s="4" t="s">
        <v>158</v>
      </c>
      <c r="C382" t="s">
        <v>12</v>
      </c>
      <c r="D382" t="s">
        <v>22</v>
      </c>
      <c r="E382" s="8">
        <v>1211</v>
      </c>
      <c r="F382" s="8">
        <v>864</v>
      </c>
      <c r="G382" t="s">
        <v>14</v>
      </c>
      <c r="H382" t="s">
        <v>15</v>
      </c>
      <c r="I382">
        <f>F382/E382</f>
        <v>0.7134599504541701</v>
      </c>
      <c r="J382">
        <f>YEAR(Table1[[#This Row],[Order Date]])</f>
        <v>2023</v>
      </c>
      <c r="K382" t="str">
        <f>TEXT(Table1[[#This Row],[Order Date]], "MMM")</f>
        <v>May</v>
      </c>
    </row>
    <row r="383" spans="1:11">
      <c r="A383">
        <v>1955</v>
      </c>
      <c r="B383" s="4" t="s">
        <v>158</v>
      </c>
      <c r="C383" t="s">
        <v>27</v>
      </c>
      <c r="D383" t="s">
        <v>13</v>
      </c>
      <c r="E383" s="8">
        <v>4236</v>
      </c>
      <c r="F383" s="8">
        <v>945</v>
      </c>
      <c r="G383" t="s">
        <v>23</v>
      </c>
      <c r="H383" t="s">
        <v>15</v>
      </c>
      <c r="I383">
        <f>F383/E383</f>
        <v>0.22308781869688385</v>
      </c>
      <c r="J383">
        <f>YEAR(Table1[[#This Row],[Order Date]])</f>
        <v>2023</v>
      </c>
      <c r="K383" t="str">
        <f>TEXT(Table1[[#This Row],[Order Date]], "MMM")</f>
        <v>May</v>
      </c>
    </row>
    <row r="384" spans="1:11">
      <c r="A384">
        <v>1957</v>
      </c>
      <c r="B384" s="4" t="s">
        <v>158</v>
      </c>
      <c r="C384" t="s">
        <v>29</v>
      </c>
      <c r="D384" t="s">
        <v>13</v>
      </c>
      <c r="E384" s="8">
        <v>1439</v>
      </c>
      <c r="F384" s="8">
        <v>950</v>
      </c>
      <c r="G384" t="s">
        <v>23</v>
      </c>
      <c r="H384" t="s">
        <v>19</v>
      </c>
      <c r="I384">
        <f>F384/E384</f>
        <v>0.66018068102849203</v>
      </c>
      <c r="J384">
        <f>YEAR(Table1[[#This Row],[Order Date]])</f>
        <v>2023</v>
      </c>
      <c r="K384" t="str">
        <f>TEXT(Table1[[#This Row],[Order Date]], "MMM")</f>
        <v>May</v>
      </c>
    </row>
    <row r="385" spans="1:11">
      <c r="A385">
        <v>1292</v>
      </c>
      <c r="B385" s="4" t="s">
        <v>159</v>
      </c>
      <c r="C385" t="s">
        <v>17</v>
      </c>
      <c r="D385" t="s">
        <v>22</v>
      </c>
      <c r="E385" s="8">
        <v>232</v>
      </c>
      <c r="F385" s="8">
        <v>807</v>
      </c>
      <c r="G385" t="s">
        <v>30</v>
      </c>
      <c r="H385" t="s">
        <v>15</v>
      </c>
      <c r="I385">
        <f>F385/E385</f>
        <v>3.478448275862069</v>
      </c>
      <c r="J385">
        <f>YEAR(Table1[[#This Row],[Order Date]])</f>
        <v>2023</v>
      </c>
      <c r="K385" t="str">
        <f>TEXT(Table1[[#This Row],[Order Date]], "MMM")</f>
        <v>May</v>
      </c>
    </row>
    <row r="386" spans="1:11">
      <c r="A386">
        <v>1988</v>
      </c>
      <c r="B386" s="4" t="s">
        <v>160</v>
      </c>
      <c r="C386" t="s">
        <v>17</v>
      </c>
      <c r="D386" t="s">
        <v>25</v>
      </c>
      <c r="E386" s="8">
        <v>2184</v>
      </c>
      <c r="F386" s="8">
        <v>609</v>
      </c>
      <c r="G386" t="s">
        <v>30</v>
      </c>
      <c r="H386" t="s">
        <v>15</v>
      </c>
      <c r="I386">
        <f>F386/E386</f>
        <v>0.27884615384615385</v>
      </c>
      <c r="J386">
        <f>YEAR(Table1[[#This Row],[Order Date]])</f>
        <v>2023</v>
      </c>
      <c r="K386" t="str">
        <f>TEXT(Table1[[#This Row],[Order Date]], "MMM")</f>
        <v>May</v>
      </c>
    </row>
    <row r="387" spans="1:11">
      <c r="A387">
        <v>1142</v>
      </c>
      <c r="B387" s="4" t="s">
        <v>161</v>
      </c>
      <c r="C387" t="s">
        <v>27</v>
      </c>
      <c r="D387" t="s">
        <v>13</v>
      </c>
      <c r="E387" s="8">
        <v>3774</v>
      </c>
      <c r="F387" s="8">
        <v>292</v>
      </c>
      <c r="G387" t="s">
        <v>23</v>
      </c>
      <c r="H387" t="s">
        <v>19</v>
      </c>
      <c r="I387">
        <f>F387/E387</f>
        <v>7.7371489136195015E-2</v>
      </c>
      <c r="J387">
        <f>YEAR(Table1[[#This Row],[Order Date]])</f>
        <v>2023</v>
      </c>
      <c r="K387" t="str">
        <f>TEXT(Table1[[#This Row],[Order Date]], "MMM")</f>
        <v>May</v>
      </c>
    </row>
    <row r="388" spans="1:11">
      <c r="A388">
        <v>1515</v>
      </c>
      <c r="B388" s="4" t="s">
        <v>161</v>
      </c>
      <c r="C388" t="s">
        <v>27</v>
      </c>
      <c r="D388" t="s">
        <v>13</v>
      </c>
      <c r="E388" s="8">
        <v>4213</v>
      </c>
      <c r="F388" s="8">
        <v>220</v>
      </c>
      <c r="G388" t="s">
        <v>23</v>
      </c>
      <c r="H388" t="s">
        <v>15</v>
      </c>
      <c r="I388">
        <f>F388/E388</f>
        <v>5.2219321148825062E-2</v>
      </c>
      <c r="J388">
        <f>YEAR(Table1[[#This Row],[Order Date]])</f>
        <v>2023</v>
      </c>
      <c r="K388" t="str">
        <f>TEXT(Table1[[#This Row],[Order Date]], "MMM")</f>
        <v>May</v>
      </c>
    </row>
    <row r="389" spans="1:11">
      <c r="A389">
        <v>1544</v>
      </c>
      <c r="B389" s="4" t="s">
        <v>161</v>
      </c>
      <c r="C389" t="s">
        <v>17</v>
      </c>
      <c r="D389" t="s">
        <v>22</v>
      </c>
      <c r="E389" s="8">
        <v>4368</v>
      </c>
      <c r="F389" s="8">
        <v>838</v>
      </c>
      <c r="G389" t="s">
        <v>30</v>
      </c>
      <c r="H389" t="s">
        <v>19</v>
      </c>
      <c r="I389">
        <f>F389/E389</f>
        <v>0.19184981684981686</v>
      </c>
      <c r="J389">
        <f>YEAR(Table1[[#This Row],[Order Date]])</f>
        <v>2023</v>
      </c>
      <c r="K389" t="str">
        <f>TEXT(Table1[[#This Row],[Order Date]], "MMM")</f>
        <v>May</v>
      </c>
    </row>
    <row r="390" spans="1:11">
      <c r="A390">
        <v>1161</v>
      </c>
      <c r="B390" s="4" t="s">
        <v>162</v>
      </c>
      <c r="C390" t="s">
        <v>29</v>
      </c>
      <c r="D390" t="s">
        <v>25</v>
      </c>
      <c r="E390" s="8">
        <v>4017</v>
      </c>
      <c r="F390" s="8">
        <v>212</v>
      </c>
      <c r="G390" t="s">
        <v>14</v>
      </c>
      <c r="H390" t="s">
        <v>15</v>
      </c>
      <c r="I390">
        <f>F390/E390</f>
        <v>5.2775703261140151E-2</v>
      </c>
      <c r="J390">
        <f>YEAR(Table1[[#This Row],[Order Date]])</f>
        <v>2023</v>
      </c>
      <c r="K390" t="str">
        <f>TEXT(Table1[[#This Row],[Order Date]], "MMM")</f>
        <v>May</v>
      </c>
    </row>
    <row r="391" spans="1:11">
      <c r="A391">
        <v>1223</v>
      </c>
      <c r="B391" s="4" t="s">
        <v>162</v>
      </c>
      <c r="C391" t="s">
        <v>12</v>
      </c>
      <c r="D391" t="s">
        <v>22</v>
      </c>
      <c r="E391" s="8">
        <v>4374</v>
      </c>
      <c r="F391" s="8">
        <v>800</v>
      </c>
      <c r="G391" t="s">
        <v>18</v>
      </c>
      <c r="H391" t="s">
        <v>19</v>
      </c>
      <c r="I391">
        <f>F391/E391</f>
        <v>0.18289894833104708</v>
      </c>
      <c r="J391">
        <f>YEAR(Table1[[#This Row],[Order Date]])</f>
        <v>2023</v>
      </c>
      <c r="K391" t="str">
        <f>TEXT(Table1[[#This Row],[Order Date]], "MMM")</f>
        <v>May</v>
      </c>
    </row>
    <row r="392" spans="1:11">
      <c r="A392">
        <v>1378</v>
      </c>
      <c r="B392" s="4" t="s">
        <v>162</v>
      </c>
      <c r="C392" t="s">
        <v>29</v>
      </c>
      <c r="D392" t="s">
        <v>22</v>
      </c>
      <c r="E392" s="8">
        <v>694</v>
      </c>
      <c r="F392" s="8">
        <v>225</v>
      </c>
      <c r="G392" t="s">
        <v>18</v>
      </c>
      <c r="H392" t="s">
        <v>19</v>
      </c>
      <c r="I392">
        <f>F392/E392</f>
        <v>0.32420749279538907</v>
      </c>
      <c r="J392">
        <f>YEAR(Table1[[#This Row],[Order Date]])</f>
        <v>2023</v>
      </c>
      <c r="K392" t="str">
        <f>TEXT(Table1[[#This Row],[Order Date]], "MMM")</f>
        <v>May</v>
      </c>
    </row>
    <row r="393" spans="1:11">
      <c r="A393">
        <v>1458</v>
      </c>
      <c r="B393" s="4" t="s">
        <v>162</v>
      </c>
      <c r="C393" t="s">
        <v>12</v>
      </c>
      <c r="D393" t="s">
        <v>25</v>
      </c>
      <c r="E393" s="8">
        <v>711</v>
      </c>
      <c r="F393" s="8">
        <v>825</v>
      </c>
      <c r="G393" t="s">
        <v>23</v>
      </c>
      <c r="H393" t="s">
        <v>19</v>
      </c>
      <c r="I393">
        <f>F393/E393</f>
        <v>1.1603375527426161</v>
      </c>
      <c r="J393">
        <f>YEAR(Table1[[#This Row],[Order Date]])</f>
        <v>2023</v>
      </c>
      <c r="K393" t="str">
        <f>TEXT(Table1[[#This Row],[Order Date]], "MMM")</f>
        <v>May</v>
      </c>
    </row>
    <row r="394" spans="1:11">
      <c r="A394">
        <v>1767</v>
      </c>
      <c r="B394" s="4" t="s">
        <v>162</v>
      </c>
      <c r="C394" t="s">
        <v>21</v>
      </c>
      <c r="D394" t="s">
        <v>22</v>
      </c>
      <c r="E394" s="8">
        <v>1094</v>
      </c>
      <c r="F394" s="8">
        <v>285</v>
      </c>
      <c r="G394" t="s">
        <v>23</v>
      </c>
      <c r="H394" t="s">
        <v>15</v>
      </c>
      <c r="I394">
        <f>F394/E394</f>
        <v>0.26051188299817185</v>
      </c>
      <c r="J394">
        <f>YEAR(Table1[[#This Row],[Order Date]])</f>
        <v>2023</v>
      </c>
      <c r="K394" t="str">
        <f>TEXT(Table1[[#This Row],[Order Date]], "MMM")</f>
        <v>May</v>
      </c>
    </row>
    <row r="395" spans="1:11">
      <c r="A395">
        <v>1952</v>
      </c>
      <c r="B395" s="4" t="s">
        <v>162</v>
      </c>
      <c r="C395" t="s">
        <v>24</v>
      </c>
      <c r="D395" t="s">
        <v>25</v>
      </c>
      <c r="E395" s="8">
        <v>680</v>
      </c>
      <c r="F395" s="8">
        <v>297</v>
      </c>
      <c r="G395" t="s">
        <v>30</v>
      </c>
      <c r="H395" t="s">
        <v>19</v>
      </c>
      <c r="I395">
        <f>F395/E395</f>
        <v>0.43676470588235294</v>
      </c>
      <c r="J395">
        <f>YEAR(Table1[[#This Row],[Order Date]])</f>
        <v>2023</v>
      </c>
      <c r="K395" t="str">
        <f>TEXT(Table1[[#This Row],[Order Date]], "MMM")</f>
        <v>May</v>
      </c>
    </row>
    <row r="396" spans="1:11">
      <c r="A396">
        <v>1949</v>
      </c>
      <c r="B396" s="4" t="s">
        <v>163</v>
      </c>
      <c r="C396" t="s">
        <v>28</v>
      </c>
      <c r="D396" t="s">
        <v>13</v>
      </c>
      <c r="E396" s="8">
        <v>103</v>
      </c>
      <c r="F396" s="8">
        <v>719</v>
      </c>
      <c r="G396" t="s">
        <v>14</v>
      </c>
      <c r="H396" t="s">
        <v>19</v>
      </c>
      <c r="I396">
        <f>F396/E396</f>
        <v>6.9805825242718447</v>
      </c>
      <c r="J396">
        <f>YEAR(Table1[[#This Row],[Order Date]])</f>
        <v>2023</v>
      </c>
      <c r="K396" t="str">
        <f>TEXT(Table1[[#This Row],[Order Date]], "MMM")</f>
        <v>May</v>
      </c>
    </row>
    <row r="397" spans="1:11">
      <c r="A397">
        <v>1198</v>
      </c>
      <c r="B397" s="4" t="s">
        <v>164</v>
      </c>
      <c r="C397" t="s">
        <v>27</v>
      </c>
      <c r="D397" t="s">
        <v>13</v>
      </c>
      <c r="E397" s="8">
        <v>1857</v>
      </c>
      <c r="F397" s="8">
        <v>894</v>
      </c>
      <c r="G397" t="s">
        <v>23</v>
      </c>
      <c r="H397" t="s">
        <v>19</v>
      </c>
      <c r="I397">
        <f>F397/E397</f>
        <v>0.48142164781906299</v>
      </c>
      <c r="J397">
        <f>YEAR(Table1[[#This Row],[Order Date]])</f>
        <v>2023</v>
      </c>
      <c r="K397" t="str">
        <f>TEXT(Table1[[#This Row],[Order Date]], "MMM")</f>
        <v>May</v>
      </c>
    </row>
    <row r="398" spans="1:11">
      <c r="A398">
        <v>1386</v>
      </c>
      <c r="B398" s="4" t="s">
        <v>164</v>
      </c>
      <c r="C398" t="s">
        <v>29</v>
      </c>
      <c r="D398" t="s">
        <v>25</v>
      </c>
      <c r="E398" s="8">
        <v>4409</v>
      </c>
      <c r="F398" s="8">
        <v>132</v>
      </c>
      <c r="G398" t="s">
        <v>30</v>
      </c>
      <c r="H398" t="s">
        <v>15</v>
      </c>
      <c r="I398">
        <f>F398/E398</f>
        <v>2.993876162395101E-2</v>
      </c>
      <c r="J398">
        <f>YEAR(Table1[[#This Row],[Order Date]])</f>
        <v>2023</v>
      </c>
      <c r="K398" t="str">
        <f>TEXT(Table1[[#This Row],[Order Date]], "MMM")</f>
        <v>May</v>
      </c>
    </row>
    <row r="399" spans="1:11">
      <c r="A399">
        <v>1414</v>
      </c>
      <c r="B399" s="4" t="s">
        <v>164</v>
      </c>
      <c r="C399" t="s">
        <v>27</v>
      </c>
      <c r="D399" t="s">
        <v>22</v>
      </c>
      <c r="E399" s="8">
        <v>2181</v>
      </c>
      <c r="F399" s="8">
        <v>519</v>
      </c>
      <c r="G399" t="s">
        <v>30</v>
      </c>
      <c r="H399" t="s">
        <v>19</v>
      </c>
      <c r="I399">
        <f>F399/E399</f>
        <v>0.23796423658872076</v>
      </c>
      <c r="J399">
        <f>YEAR(Table1[[#This Row],[Order Date]])</f>
        <v>2023</v>
      </c>
      <c r="K399" t="str">
        <f>TEXT(Table1[[#This Row],[Order Date]], "MMM")</f>
        <v>May</v>
      </c>
    </row>
    <row r="400" spans="1:11">
      <c r="A400">
        <v>1627</v>
      </c>
      <c r="B400" s="4" t="s">
        <v>164</v>
      </c>
      <c r="C400" t="s">
        <v>24</v>
      </c>
      <c r="D400" t="s">
        <v>13</v>
      </c>
      <c r="E400" s="8">
        <v>4023</v>
      </c>
      <c r="F400" s="8">
        <v>559</v>
      </c>
      <c r="G400" t="s">
        <v>18</v>
      </c>
      <c r="H400" t="s">
        <v>15</v>
      </c>
      <c r="I400">
        <f>F400/E400</f>
        <v>0.13895103156848124</v>
      </c>
      <c r="J400">
        <f>YEAR(Table1[[#This Row],[Order Date]])</f>
        <v>2023</v>
      </c>
      <c r="K400" t="str">
        <f>TEXT(Table1[[#This Row],[Order Date]], "MMM")</f>
        <v>May</v>
      </c>
    </row>
    <row r="401" spans="1:11">
      <c r="A401">
        <v>1726</v>
      </c>
      <c r="B401" s="4" t="s">
        <v>164</v>
      </c>
      <c r="C401" t="s">
        <v>12</v>
      </c>
      <c r="D401" t="s">
        <v>25</v>
      </c>
      <c r="E401" s="8">
        <v>2986</v>
      </c>
      <c r="F401" s="8">
        <v>281</v>
      </c>
      <c r="G401" t="s">
        <v>23</v>
      </c>
      <c r="H401" t="s">
        <v>19</v>
      </c>
      <c r="I401">
        <f>F401/E401</f>
        <v>9.4105827193569996E-2</v>
      </c>
      <c r="J401">
        <f>YEAR(Table1[[#This Row],[Order Date]])</f>
        <v>2023</v>
      </c>
      <c r="K401" t="str">
        <f>TEXT(Table1[[#This Row],[Order Date]], "MMM")</f>
        <v>May</v>
      </c>
    </row>
    <row r="402" spans="1:11">
      <c r="A402">
        <v>1986</v>
      </c>
      <c r="B402" s="4" t="s">
        <v>164</v>
      </c>
      <c r="C402" t="s">
        <v>27</v>
      </c>
      <c r="D402" t="s">
        <v>22</v>
      </c>
      <c r="E402" s="8">
        <v>2635</v>
      </c>
      <c r="F402" s="8">
        <v>111</v>
      </c>
      <c r="G402" t="s">
        <v>18</v>
      </c>
      <c r="H402" t="s">
        <v>15</v>
      </c>
      <c r="I402">
        <f>F402/E402</f>
        <v>4.2125237191650851E-2</v>
      </c>
      <c r="J402">
        <f>YEAR(Table1[[#This Row],[Order Date]])</f>
        <v>2023</v>
      </c>
      <c r="K402" t="str">
        <f>TEXT(Table1[[#This Row],[Order Date]], "MMM")</f>
        <v>May</v>
      </c>
    </row>
    <row r="403" spans="1:11">
      <c r="A403">
        <v>1118</v>
      </c>
      <c r="B403" s="4" t="s">
        <v>165</v>
      </c>
      <c r="C403" t="s">
        <v>27</v>
      </c>
      <c r="D403" t="s">
        <v>25</v>
      </c>
      <c r="E403" s="8">
        <v>4535</v>
      </c>
      <c r="F403" s="8">
        <v>164</v>
      </c>
      <c r="G403" t="s">
        <v>14</v>
      </c>
      <c r="H403" t="s">
        <v>15</v>
      </c>
      <c r="I403">
        <f>F403/E403</f>
        <v>3.6163175303197355E-2</v>
      </c>
      <c r="J403">
        <f>YEAR(Table1[[#This Row],[Order Date]])</f>
        <v>2023</v>
      </c>
      <c r="K403" t="str">
        <f>TEXT(Table1[[#This Row],[Order Date]], "MMM")</f>
        <v>May</v>
      </c>
    </row>
    <row r="404" spans="1:11">
      <c r="A404">
        <v>1875</v>
      </c>
      <c r="B404" s="4" t="s">
        <v>165</v>
      </c>
      <c r="C404" t="s">
        <v>17</v>
      </c>
      <c r="D404" t="s">
        <v>25</v>
      </c>
      <c r="E404" s="8">
        <v>4065</v>
      </c>
      <c r="F404" s="8">
        <v>518</v>
      </c>
      <c r="G404" t="s">
        <v>30</v>
      </c>
      <c r="H404" t="s">
        <v>19</v>
      </c>
      <c r="I404">
        <f>F404/E404</f>
        <v>0.12742927429274292</v>
      </c>
      <c r="J404">
        <f>YEAR(Table1[[#This Row],[Order Date]])</f>
        <v>2023</v>
      </c>
      <c r="K404" t="str">
        <f>TEXT(Table1[[#This Row],[Order Date]], "MMM")</f>
        <v>May</v>
      </c>
    </row>
    <row r="405" spans="1:11">
      <c r="A405">
        <v>1983</v>
      </c>
      <c r="B405" s="4" t="s">
        <v>165</v>
      </c>
      <c r="C405" t="s">
        <v>17</v>
      </c>
      <c r="D405" t="s">
        <v>22</v>
      </c>
      <c r="E405" s="8">
        <v>4476</v>
      </c>
      <c r="F405" s="8">
        <v>358</v>
      </c>
      <c r="G405" t="s">
        <v>14</v>
      </c>
      <c r="H405" t="s">
        <v>15</v>
      </c>
      <c r="I405">
        <f>F405/E405</f>
        <v>7.9982126899016973E-2</v>
      </c>
      <c r="J405">
        <f>YEAR(Table1[[#This Row],[Order Date]])</f>
        <v>2023</v>
      </c>
      <c r="K405" t="str">
        <f>TEXT(Table1[[#This Row],[Order Date]], "MMM")</f>
        <v>May</v>
      </c>
    </row>
    <row r="406" spans="1:11">
      <c r="A406">
        <v>1732</v>
      </c>
      <c r="B406" s="4" t="s">
        <v>166</v>
      </c>
      <c r="C406" t="s">
        <v>12</v>
      </c>
      <c r="D406" t="s">
        <v>13</v>
      </c>
      <c r="E406" s="8">
        <v>920</v>
      </c>
      <c r="F406" s="8">
        <v>875</v>
      </c>
      <c r="G406" t="s">
        <v>18</v>
      </c>
      <c r="H406" t="s">
        <v>19</v>
      </c>
      <c r="I406">
        <f>F406/E406</f>
        <v>0.95108695652173914</v>
      </c>
      <c r="J406">
        <f>YEAR(Table1[[#This Row],[Order Date]])</f>
        <v>2023</v>
      </c>
      <c r="K406" t="str">
        <f>TEXT(Table1[[#This Row],[Order Date]], "MMM")</f>
        <v>May</v>
      </c>
    </row>
    <row r="407" spans="1:11">
      <c r="A407">
        <v>1925</v>
      </c>
      <c r="B407" s="4" t="s">
        <v>166</v>
      </c>
      <c r="C407" t="s">
        <v>24</v>
      </c>
      <c r="D407" t="s">
        <v>13</v>
      </c>
      <c r="E407" s="8">
        <v>3788</v>
      </c>
      <c r="F407" s="8">
        <v>537</v>
      </c>
      <c r="G407" t="s">
        <v>23</v>
      </c>
      <c r="H407" t="s">
        <v>15</v>
      </c>
      <c r="I407">
        <f>F407/E407</f>
        <v>0.14176346356916578</v>
      </c>
      <c r="J407">
        <f>YEAR(Table1[[#This Row],[Order Date]])</f>
        <v>2023</v>
      </c>
      <c r="K407" t="str">
        <f>TEXT(Table1[[#This Row],[Order Date]], "MMM")</f>
        <v>May</v>
      </c>
    </row>
    <row r="408" spans="1:11">
      <c r="A408">
        <v>1403</v>
      </c>
      <c r="B408" s="4" t="s">
        <v>167</v>
      </c>
      <c r="C408" t="s">
        <v>28</v>
      </c>
      <c r="D408" t="s">
        <v>13</v>
      </c>
      <c r="E408" s="8">
        <v>628</v>
      </c>
      <c r="F408" s="8">
        <v>20</v>
      </c>
      <c r="G408" t="s">
        <v>18</v>
      </c>
      <c r="H408" t="s">
        <v>15</v>
      </c>
      <c r="I408">
        <f>F408/E408</f>
        <v>3.1847133757961783E-2</v>
      </c>
      <c r="J408">
        <f>YEAR(Table1[[#This Row],[Order Date]])</f>
        <v>2023</v>
      </c>
      <c r="K408" t="str">
        <f>TEXT(Table1[[#This Row],[Order Date]], "MMM")</f>
        <v>May</v>
      </c>
    </row>
    <row r="409" spans="1:11">
      <c r="A409">
        <v>1730</v>
      </c>
      <c r="B409" s="4" t="s">
        <v>167</v>
      </c>
      <c r="C409" t="s">
        <v>17</v>
      </c>
      <c r="D409" t="s">
        <v>25</v>
      </c>
      <c r="E409" s="8">
        <v>4589</v>
      </c>
      <c r="F409" s="8">
        <v>299</v>
      </c>
      <c r="G409" t="s">
        <v>30</v>
      </c>
      <c r="H409" t="s">
        <v>19</v>
      </c>
      <c r="I409">
        <f>F409/E409</f>
        <v>6.5155807365439092E-2</v>
      </c>
      <c r="J409">
        <f>YEAR(Table1[[#This Row],[Order Date]])</f>
        <v>2023</v>
      </c>
      <c r="K409" t="str">
        <f>TEXT(Table1[[#This Row],[Order Date]], "MMM")</f>
        <v>May</v>
      </c>
    </row>
    <row r="410" spans="1:11">
      <c r="A410">
        <v>1995</v>
      </c>
      <c r="B410" s="4" t="s">
        <v>167</v>
      </c>
      <c r="C410" t="s">
        <v>29</v>
      </c>
      <c r="D410" t="s">
        <v>13</v>
      </c>
      <c r="E410" s="8">
        <v>438</v>
      </c>
      <c r="F410" s="8">
        <v>558</v>
      </c>
      <c r="G410" t="s">
        <v>14</v>
      </c>
      <c r="H410" t="s">
        <v>15</v>
      </c>
      <c r="I410">
        <f>F410/E410</f>
        <v>1.273972602739726</v>
      </c>
      <c r="J410">
        <f>YEAR(Table1[[#This Row],[Order Date]])</f>
        <v>2023</v>
      </c>
      <c r="K410" t="str">
        <f>TEXT(Table1[[#This Row],[Order Date]], "MMM")</f>
        <v>May</v>
      </c>
    </row>
    <row r="411" spans="1:11">
      <c r="A411">
        <v>1106</v>
      </c>
      <c r="B411" s="4" t="s">
        <v>168</v>
      </c>
      <c r="C411" t="s">
        <v>28</v>
      </c>
      <c r="D411" t="s">
        <v>25</v>
      </c>
      <c r="E411" s="8">
        <v>1270</v>
      </c>
      <c r="F411" s="8">
        <v>130</v>
      </c>
      <c r="G411" t="s">
        <v>23</v>
      </c>
      <c r="H411" t="s">
        <v>15</v>
      </c>
      <c r="I411">
        <f>F411/E411</f>
        <v>0.10236220472440945</v>
      </c>
      <c r="J411">
        <f>YEAR(Table1[[#This Row],[Order Date]])</f>
        <v>2023</v>
      </c>
      <c r="K411" t="str">
        <f>TEXT(Table1[[#This Row],[Order Date]], "MMM")</f>
        <v>Jun</v>
      </c>
    </row>
    <row r="412" spans="1:11">
      <c r="A412">
        <v>1337</v>
      </c>
      <c r="B412" s="4" t="s">
        <v>168</v>
      </c>
      <c r="C412" t="s">
        <v>28</v>
      </c>
      <c r="D412" t="s">
        <v>13</v>
      </c>
      <c r="E412" s="8">
        <v>3230</v>
      </c>
      <c r="F412" s="8">
        <v>272</v>
      </c>
      <c r="G412" t="s">
        <v>23</v>
      </c>
      <c r="H412" t="s">
        <v>15</v>
      </c>
      <c r="I412">
        <f>F412/E412</f>
        <v>8.4210526315789472E-2</v>
      </c>
      <c r="J412">
        <f>YEAR(Table1[[#This Row],[Order Date]])</f>
        <v>2023</v>
      </c>
      <c r="K412" t="str">
        <f>TEXT(Table1[[#This Row],[Order Date]], "MMM")</f>
        <v>Jun</v>
      </c>
    </row>
    <row r="413" spans="1:11">
      <c r="A413">
        <v>1781</v>
      </c>
      <c r="B413" s="4" t="s">
        <v>168</v>
      </c>
      <c r="C413" t="s">
        <v>29</v>
      </c>
      <c r="D413" t="s">
        <v>13</v>
      </c>
      <c r="E413" s="8">
        <v>1541</v>
      </c>
      <c r="F413" s="8">
        <v>937</v>
      </c>
      <c r="G413" t="s">
        <v>14</v>
      </c>
      <c r="H413" t="s">
        <v>19</v>
      </c>
      <c r="I413">
        <f>F413/E413</f>
        <v>0.60804672290720307</v>
      </c>
      <c r="J413">
        <f>YEAR(Table1[[#This Row],[Order Date]])</f>
        <v>2023</v>
      </c>
      <c r="K413" t="str">
        <f>TEXT(Table1[[#This Row],[Order Date]], "MMM")</f>
        <v>Jun</v>
      </c>
    </row>
    <row r="414" spans="1:11">
      <c r="A414">
        <v>1882</v>
      </c>
      <c r="B414" s="4" t="s">
        <v>168</v>
      </c>
      <c r="C414" t="s">
        <v>21</v>
      </c>
      <c r="D414" t="s">
        <v>22</v>
      </c>
      <c r="E414" s="8">
        <v>2202</v>
      </c>
      <c r="F414" s="8">
        <v>44</v>
      </c>
      <c r="G414" t="s">
        <v>18</v>
      </c>
      <c r="H414" t="s">
        <v>19</v>
      </c>
      <c r="I414">
        <f>F414/E414</f>
        <v>1.9981834695731154E-2</v>
      </c>
      <c r="J414">
        <f>YEAR(Table1[[#This Row],[Order Date]])</f>
        <v>2023</v>
      </c>
      <c r="K414" t="str">
        <f>TEXT(Table1[[#This Row],[Order Date]], "MMM")</f>
        <v>Jun</v>
      </c>
    </row>
    <row r="415" spans="1:11">
      <c r="A415">
        <v>1994</v>
      </c>
      <c r="B415" s="4" t="s">
        <v>168</v>
      </c>
      <c r="C415" t="s">
        <v>12</v>
      </c>
      <c r="D415" t="s">
        <v>22</v>
      </c>
      <c r="E415" s="8">
        <v>135</v>
      </c>
      <c r="F415" s="8">
        <v>779</v>
      </c>
      <c r="G415" t="s">
        <v>18</v>
      </c>
      <c r="H415" t="s">
        <v>15</v>
      </c>
      <c r="I415">
        <f>F415/E415</f>
        <v>5.7703703703703706</v>
      </c>
      <c r="J415">
        <f>YEAR(Table1[[#This Row],[Order Date]])</f>
        <v>2023</v>
      </c>
      <c r="K415" t="str">
        <f>TEXT(Table1[[#This Row],[Order Date]], "MMM")</f>
        <v>Jun</v>
      </c>
    </row>
    <row r="416" spans="1:11">
      <c r="A416">
        <v>1176</v>
      </c>
      <c r="B416" s="4" t="s">
        <v>169</v>
      </c>
      <c r="C416" t="s">
        <v>29</v>
      </c>
      <c r="D416" t="s">
        <v>25</v>
      </c>
      <c r="E416" s="8">
        <v>4173</v>
      </c>
      <c r="F416" s="8">
        <v>648</v>
      </c>
      <c r="G416" t="s">
        <v>30</v>
      </c>
      <c r="H416" t="s">
        <v>19</v>
      </c>
      <c r="I416">
        <f>F416/E416</f>
        <v>0.1552839683680805</v>
      </c>
      <c r="J416">
        <f>YEAR(Table1[[#This Row],[Order Date]])</f>
        <v>2023</v>
      </c>
      <c r="K416" t="str">
        <f>TEXT(Table1[[#This Row],[Order Date]], "MMM")</f>
        <v>Jun</v>
      </c>
    </row>
    <row r="417" spans="1:11">
      <c r="A417">
        <v>1258</v>
      </c>
      <c r="B417" s="4" t="s">
        <v>169</v>
      </c>
      <c r="C417" t="s">
        <v>12</v>
      </c>
      <c r="D417" t="s">
        <v>25</v>
      </c>
      <c r="E417" s="8">
        <v>2059</v>
      </c>
      <c r="F417" s="8">
        <v>109</v>
      </c>
      <c r="G417" t="s">
        <v>23</v>
      </c>
      <c r="H417" t="s">
        <v>19</v>
      </c>
      <c r="I417">
        <f>F417/E417</f>
        <v>5.2938319572608063E-2</v>
      </c>
      <c r="J417">
        <f>YEAR(Table1[[#This Row],[Order Date]])</f>
        <v>2023</v>
      </c>
      <c r="K417" t="str">
        <f>TEXT(Table1[[#This Row],[Order Date]], "MMM")</f>
        <v>Jun</v>
      </c>
    </row>
    <row r="418" spans="1:11">
      <c r="A418">
        <v>1420</v>
      </c>
      <c r="B418" s="4" t="s">
        <v>169</v>
      </c>
      <c r="C418" t="s">
        <v>17</v>
      </c>
      <c r="D418" t="s">
        <v>25</v>
      </c>
      <c r="E418" s="8">
        <v>4241</v>
      </c>
      <c r="F418" s="8">
        <v>80</v>
      </c>
      <c r="G418" t="s">
        <v>23</v>
      </c>
      <c r="H418" t="s">
        <v>19</v>
      </c>
      <c r="I418">
        <f>F418/E418</f>
        <v>1.8863475595378449E-2</v>
      </c>
      <c r="J418">
        <f>YEAR(Table1[[#This Row],[Order Date]])</f>
        <v>2023</v>
      </c>
      <c r="K418" t="str">
        <f>TEXT(Table1[[#This Row],[Order Date]], "MMM")</f>
        <v>Jun</v>
      </c>
    </row>
    <row r="419" spans="1:11">
      <c r="A419">
        <v>1582</v>
      </c>
      <c r="B419" s="4" t="s">
        <v>169</v>
      </c>
      <c r="C419" t="s">
        <v>24</v>
      </c>
      <c r="D419" t="s">
        <v>22</v>
      </c>
      <c r="E419" s="8">
        <v>4636</v>
      </c>
      <c r="F419" s="8">
        <v>258</v>
      </c>
      <c r="G419" t="s">
        <v>30</v>
      </c>
      <c r="H419" t="s">
        <v>19</v>
      </c>
      <c r="I419">
        <f>F419/E419</f>
        <v>5.565142364106989E-2</v>
      </c>
      <c r="J419">
        <f>YEAR(Table1[[#This Row],[Order Date]])</f>
        <v>2023</v>
      </c>
      <c r="K419" t="str">
        <f>TEXT(Table1[[#This Row],[Order Date]], "MMM")</f>
        <v>Jun</v>
      </c>
    </row>
    <row r="420" spans="1:11">
      <c r="A420">
        <v>1866</v>
      </c>
      <c r="B420" s="4" t="s">
        <v>169</v>
      </c>
      <c r="C420" t="s">
        <v>24</v>
      </c>
      <c r="D420" t="s">
        <v>25</v>
      </c>
      <c r="E420" s="8">
        <v>4807</v>
      </c>
      <c r="F420" s="8">
        <v>409</v>
      </c>
      <c r="G420" t="s">
        <v>18</v>
      </c>
      <c r="H420" t="s">
        <v>19</v>
      </c>
      <c r="I420">
        <f>F420/E420</f>
        <v>8.5084252132307053E-2</v>
      </c>
      <c r="J420">
        <f>YEAR(Table1[[#This Row],[Order Date]])</f>
        <v>2023</v>
      </c>
      <c r="K420" t="str">
        <f>TEXT(Table1[[#This Row],[Order Date]], "MMM")</f>
        <v>Jun</v>
      </c>
    </row>
    <row r="421" spans="1:11">
      <c r="A421">
        <v>1327</v>
      </c>
      <c r="B421" s="4" t="s">
        <v>170</v>
      </c>
      <c r="C421" t="s">
        <v>12</v>
      </c>
      <c r="D421" t="s">
        <v>25</v>
      </c>
      <c r="E421" s="8">
        <v>937</v>
      </c>
      <c r="F421" s="8">
        <v>104</v>
      </c>
      <c r="G421" t="s">
        <v>30</v>
      </c>
      <c r="H421" t="s">
        <v>15</v>
      </c>
      <c r="I421">
        <f>F421/E421</f>
        <v>0.11099252934898612</v>
      </c>
      <c r="J421">
        <f>YEAR(Table1[[#This Row],[Order Date]])</f>
        <v>2023</v>
      </c>
      <c r="K421" t="str">
        <f>TEXT(Table1[[#This Row],[Order Date]], "MMM")</f>
        <v>Jun</v>
      </c>
    </row>
    <row r="422" spans="1:11">
      <c r="A422">
        <v>1579</v>
      </c>
      <c r="B422" s="4" t="s">
        <v>171</v>
      </c>
      <c r="C422" t="s">
        <v>27</v>
      </c>
      <c r="D422" t="s">
        <v>22</v>
      </c>
      <c r="E422" s="8">
        <v>2936</v>
      </c>
      <c r="F422" s="8">
        <v>74</v>
      </c>
      <c r="G422" t="s">
        <v>30</v>
      </c>
      <c r="H422" t="s">
        <v>19</v>
      </c>
      <c r="I422">
        <f>F422/E422</f>
        <v>2.5204359673024524E-2</v>
      </c>
      <c r="J422">
        <f>YEAR(Table1[[#This Row],[Order Date]])</f>
        <v>2023</v>
      </c>
      <c r="K422" t="str">
        <f>TEXT(Table1[[#This Row],[Order Date]], "MMM")</f>
        <v>Jun</v>
      </c>
    </row>
    <row r="423" spans="1:11">
      <c r="A423">
        <v>1809</v>
      </c>
      <c r="B423" s="4" t="s">
        <v>172</v>
      </c>
      <c r="C423" t="s">
        <v>29</v>
      </c>
      <c r="D423" t="s">
        <v>22</v>
      </c>
      <c r="E423" s="8">
        <v>883</v>
      </c>
      <c r="F423" s="8">
        <v>203</v>
      </c>
      <c r="G423" t="s">
        <v>18</v>
      </c>
      <c r="H423" t="s">
        <v>15</v>
      </c>
      <c r="I423">
        <f>F423/E423</f>
        <v>0.22989807474518686</v>
      </c>
      <c r="J423">
        <f>YEAR(Table1[[#This Row],[Order Date]])</f>
        <v>2023</v>
      </c>
      <c r="K423" t="str">
        <f>TEXT(Table1[[#This Row],[Order Date]], "MMM")</f>
        <v>Jun</v>
      </c>
    </row>
    <row r="424" spans="1:11">
      <c r="A424">
        <v>1888</v>
      </c>
      <c r="B424" s="4" t="s">
        <v>172</v>
      </c>
      <c r="C424" t="s">
        <v>24</v>
      </c>
      <c r="D424" t="s">
        <v>22</v>
      </c>
      <c r="E424" s="8">
        <v>2029</v>
      </c>
      <c r="F424" s="8">
        <v>714</v>
      </c>
      <c r="G424" t="s">
        <v>18</v>
      </c>
      <c r="H424" t="s">
        <v>15</v>
      </c>
      <c r="I424">
        <f>F424/E424</f>
        <v>0.35189748644652541</v>
      </c>
      <c r="J424">
        <f>YEAR(Table1[[#This Row],[Order Date]])</f>
        <v>2023</v>
      </c>
      <c r="K424" t="str">
        <f>TEXT(Table1[[#This Row],[Order Date]], "MMM")</f>
        <v>Jun</v>
      </c>
    </row>
    <row r="425" spans="1:11">
      <c r="A425">
        <v>1569</v>
      </c>
      <c r="B425" s="4" t="s">
        <v>173</v>
      </c>
      <c r="C425" t="s">
        <v>17</v>
      </c>
      <c r="D425" t="s">
        <v>13</v>
      </c>
      <c r="E425" s="8">
        <v>2294</v>
      </c>
      <c r="F425" s="8">
        <v>295</v>
      </c>
      <c r="G425" t="s">
        <v>30</v>
      </c>
      <c r="H425" t="s">
        <v>19</v>
      </c>
      <c r="I425">
        <f>F425/E425</f>
        <v>0.12859633827375763</v>
      </c>
      <c r="J425">
        <f>YEAR(Table1[[#This Row],[Order Date]])</f>
        <v>2023</v>
      </c>
      <c r="K425" t="str">
        <f>TEXT(Table1[[#This Row],[Order Date]], "MMM")</f>
        <v>Jun</v>
      </c>
    </row>
    <row r="426" spans="1:11">
      <c r="A426">
        <v>1847</v>
      </c>
      <c r="B426" s="4" t="s">
        <v>173</v>
      </c>
      <c r="C426" t="s">
        <v>21</v>
      </c>
      <c r="D426" t="s">
        <v>22</v>
      </c>
      <c r="E426" s="8">
        <v>2194</v>
      </c>
      <c r="F426" s="8">
        <v>203</v>
      </c>
      <c r="G426" t="s">
        <v>23</v>
      </c>
      <c r="H426" t="s">
        <v>19</v>
      </c>
      <c r="I426">
        <f>F426/E426</f>
        <v>9.2525068368277119E-2</v>
      </c>
      <c r="J426">
        <f>YEAR(Table1[[#This Row],[Order Date]])</f>
        <v>2023</v>
      </c>
      <c r="K426" t="str">
        <f>TEXT(Table1[[#This Row],[Order Date]], "MMM")</f>
        <v>Jun</v>
      </c>
    </row>
    <row r="427" spans="1:11">
      <c r="A427">
        <v>1900</v>
      </c>
      <c r="B427" s="4" t="s">
        <v>173</v>
      </c>
      <c r="C427" t="s">
        <v>17</v>
      </c>
      <c r="D427" t="s">
        <v>22</v>
      </c>
      <c r="E427" s="8">
        <v>651</v>
      </c>
      <c r="F427" s="8">
        <v>701</v>
      </c>
      <c r="G427" t="s">
        <v>14</v>
      </c>
      <c r="H427" t="s">
        <v>19</v>
      </c>
      <c r="I427">
        <f>F427/E427</f>
        <v>1.0768049155145929</v>
      </c>
      <c r="J427">
        <f>YEAR(Table1[[#This Row],[Order Date]])</f>
        <v>2023</v>
      </c>
      <c r="K427" t="str">
        <f>TEXT(Table1[[#This Row],[Order Date]], "MMM")</f>
        <v>Jun</v>
      </c>
    </row>
    <row r="428" spans="1:11">
      <c r="A428">
        <v>1491</v>
      </c>
      <c r="B428" s="4" t="s">
        <v>174</v>
      </c>
      <c r="C428" t="s">
        <v>24</v>
      </c>
      <c r="D428" t="s">
        <v>25</v>
      </c>
      <c r="E428" s="8">
        <v>2852</v>
      </c>
      <c r="F428" s="8">
        <v>513</v>
      </c>
      <c r="G428" t="s">
        <v>23</v>
      </c>
      <c r="H428" t="s">
        <v>19</v>
      </c>
      <c r="I428">
        <f>F428/E428</f>
        <v>0.17987377279102384</v>
      </c>
      <c r="J428">
        <f>YEAR(Table1[[#This Row],[Order Date]])</f>
        <v>2023</v>
      </c>
      <c r="K428" t="str">
        <f>TEXT(Table1[[#This Row],[Order Date]], "MMM")</f>
        <v>Jun</v>
      </c>
    </row>
    <row r="429" spans="1:11">
      <c r="A429">
        <v>1748</v>
      </c>
      <c r="B429" s="4" t="s">
        <v>174</v>
      </c>
      <c r="C429" t="s">
        <v>29</v>
      </c>
      <c r="D429" t="s">
        <v>13</v>
      </c>
      <c r="E429" s="8">
        <v>3029</v>
      </c>
      <c r="F429" s="8">
        <v>228</v>
      </c>
      <c r="G429" t="s">
        <v>18</v>
      </c>
      <c r="H429" t="s">
        <v>19</v>
      </c>
      <c r="I429">
        <f>F429/E429</f>
        <v>7.5272367117860686E-2</v>
      </c>
      <c r="J429">
        <f>YEAR(Table1[[#This Row],[Order Date]])</f>
        <v>2023</v>
      </c>
      <c r="K429" t="str">
        <f>TEXT(Table1[[#This Row],[Order Date]], "MMM")</f>
        <v>Jun</v>
      </c>
    </row>
    <row r="430" spans="1:11">
      <c r="A430">
        <v>1902</v>
      </c>
      <c r="B430" s="4" t="s">
        <v>175</v>
      </c>
      <c r="C430" t="s">
        <v>29</v>
      </c>
      <c r="D430" t="s">
        <v>22</v>
      </c>
      <c r="E430" s="8">
        <v>2241</v>
      </c>
      <c r="F430" s="8">
        <v>95</v>
      </c>
      <c r="G430" t="s">
        <v>14</v>
      </c>
      <c r="H430" t="s">
        <v>19</v>
      </c>
      <c r="I430">
        <f>F430/E430</f>
        <v>4.2391789379741189E-2</v>
      </c>
      <c r="J430">
        <f>YEAR(Table1[[#This Row],[Order Date]])</f>
        <v>2023</v>
      </c>
      <c r="K430" t="str">
        <f>TEXT(Table1[[#This Row],[Order Date]], "MMM")</f>
        <v>Jun</v>
      </c>
    </row>
    <row r="431" spans="1:11">
      <c r="A431">
        <v>1139</v>
      </c>
      <c r="B431" s="4" t="s">
        <v>176</v>
      </c>
      <c r="C431" t="s">
        <v>29</v>
      </c>
      <c r="D431" t="s">
        <v>25</v>
      </c>
      <c r="E431" s="8">
        <v>860</v>
      </c>
      <c r="F431" s="8">
        <v>735</v>
      </c>
      <c r="G431" t="s">
        <v>30</v>
      </c>
      <c r="H431" t="s">
        <v>15</v>
      </c>
      <c r="I431">
        <f>F431/E431</f>
        <v>0.85465116279069764</v>
      </c>
      <c r="J431">
        <f>YEAR(Table1[[#This Row],[Order Date]])</f>
        <v>2023</v>
      </c>
      <c r="K431" t="str">
        <f>TEXT(Table1[[#This Row],[Order Date]], "MMM")</f>
        <v>Jun</v>
      </c>
    </row>
    <row r="432" spans="1:11">
      <c r="A432">
        <v>1392</v>
      </c>
      <c r="B432" s="4" t="s">
        <v>176</v>
      </c>
      <c r="C432" t="s">
        <v>12</v>
      </c>
      <c r="D432" t="s">
        <v>13</v>
      </c>
      <c r="E432" s="8">
        <v>4930</v>
      </c>
      <c r="F432" s="8">
        <v>619</v>
      </c>
      <c r="G432" t="s">
        <v>14</v>
      </c>
      <c r="H432" t="s">
        <v>15</v>
      </c>
      <c r="I432">
        <f>F432/E432</f>
        <v>0.12555780933062879</v>
      </c>
      <c r="J432">
        <f>YEAR(Table1[[#This Row],[Order Date]])</f>
        <v>2023</v>
      </c>
      <c r="K432" t="str">
        <f>TEXT(Table1[[#This Row],[Order Date]], "MMM")</f>
        <v>Jun</v>
      </c>
    </row>
    <row r="433" spans="1:11">
      <c r="A433">
        <v>1793</v>
      </c>
      <c r="B433" s="4" t="s">
        <v>176</v>
      </c>
      <c r="C433" t="s">
        <v>21</v>
      </c>
      <c r="D433" t="s">
        <v>22</v>
      </c>
      <c r="E433" s="8">
        <v>4597</v>
      </c>
      <c r="F433" s="8">
        <v>520</v>
      </c>
      <c r="G433" t="s">
        <v>23</v>
      </c>
      <c r="H433" t="s">
        <v>19</v>
      </c>
      <c r="I433">
        <f>F433/E433</f>
        <v>0.11311725038068306</v>
      </c>
      <c r="J433">
        <f>YEAR(Table1[[#This Row],[Order Date]])</f>
        <v>2023</v>
      </c>
      <c r="K433" t="str">
        <f>TEXT(Table1[[#This Row],[Order Date]], "MMM")</f>
        <v>Jun</v>
      </c>
    </row>
    <row r="434" spans="1:11">
      <c r="A434">
        <v>1940</v>
      </c>
      <c r="B434" s="4" t="s">
        <v>177</v>
      </c>
      <c r="C434" t="s">
        <v>17</v>
      </c>
      <c r="D434" t="s">
        <v>25</v>
      </c>
      <c r="E434" s="8">
        <v>1818</v>
      </c>
      <c r="F434" s="8">
        <v>173</v>
      </c>
      <c r="G434" t="s">
        <v>30</v>
      </c>
      <c r="H434" t="s">
        <v>15</v>
      </c>
      <c r="I434">
        <f>F434/E434</f>
        <v>9.5159515951595164E-2</v>
      </c>
      <c r="J434">
        <f>YEAR(Table1[[#This Row],[Order Date]])</f>
        <v>2023</v>
      </c>
      <c r="K434" t="str">
        <f>TEXT(Table1[[#This Row],[Order Date]], "MMM")</f>
        <v>Jun</v>
      </c>
    </row>
    <row r="435" spans="1:11">
      <c r="A435">
        <v>1269</v>
      </c>
      <c r="B435" s="4" t="s">
        <v>178</v>
      </c>
      <c r="C435" t="s">
        <v>17</v>
      </c>
      <c r="D435" t="s">
        <v>13</v>
      </c>
      <c r="E435" s="8">
        <v>4364</v>
      </c>
      <c r="F435" s="8">
        <v>33</v>
      </c>
      <c r="G435" t="s">
        <v>30</v>
      </c>
      <c r="H435" t="s">
        <v>15</v>
      </c>
      <c r="I435">
        <f>F435/E435</f>
        <v>7.5618698441796521E-3</v>
      </c>
      <c r="J435">
        <f>YEAR(Table1[[#This Row],[Order Date]])</f>
        <v>2023</v>
      </c>
      <c r="K435" t="str">
        <f>TEXT(Table1[[#This Row],[Order Date]], "MMM")</f>
        <v>Jun</v>
      </c>
    </row>
    <row r="436" spans="1:11">
      <c r="A436">
        <v>1731</v>
      </c>
      <c r="B436" s="4" t="s">
        <v>179</v>
      </c>
      <c r="C436" t="s">
        <v>27</v>
      </c>
      <c r="D436" t="s">
        <v>25</v>
      </c>
      <c r="E436" s="8">
        <v>969</v>
      </c>
      <c r="F436" s="8">
        <v>545</v>
      </c>
      <c r="G436" t="s">
        <v>30</v>
      </c>
      <c r="H436" t="s">
        <v>15</v>
      </c>
      <c r="I436">
        <f>F436/E436</f>
        <v>0.56243550051599589</v>
      </c>
      <c r="J436">
        <f>YEAR(Table1[[#This Row],[Order Date]])</f>
        <v>2023</v>
      </c>
      <c r="K436" t="str">
        <f>TEXT(Table1[[#This Row],[Order Date]], "MMM")</f>
        <v>Jun</v>
      </c>
    </row>
    <row r="437" spans="1:11">
      <c r="A437">
        <v>1942</v>
      </c>
      <c r="B437" s="4" t="s">
        <v>179</v>
      </c>
      <c r="C437" t="s">
        <v>12</v>
      </c>
      <c r="D437" t="s">
        <v>22</v>
      </c>
      <c r="E437" s="8">
        <v>3221</v>
      </c>
      <c r="F437" s="8">
        <v>994</v>
      </c>
      <c r="G437" t="s">
        <v>23</v>
      </c>
      <c r="H437" t="s">
        <v>19</v>
      </c>
      <c r="I437">
        <f>F437/E437</f>
        <v>0.30859981372244644</v>
      </c>
      <c r="J437">
        <f>YEAR(Table1[[#This Row],[Order Date]])</f>
        <v>2023</v>
      </c>
      <c r="K437" t="str">
        <f>TEXT(Table1[[#This Row],[Order Date]], "MMM")</f>
        <v>Jun</v>
      </c>
    </row>
    <row r="438" spans="1:11">
      <c r="A438">
        <v>1520</v>
      </c>
      <c r="B438" s="4" t="s">
        <v>180</v>
      </c>
      <c r="C438" t="s">
        <v>24</v>
      </c>
      <c r="D438" t="s">
        <v>22</v>
      </c>
      <c r="E438" s="8">
        <v>137</v>
      </c>
      <c r="F438" s="8">
        <v>143</v>
      </c>
      <c r="G438" t="s">
        <v>30</v>
      </c>
      <c r="H438" t="s">
        <v>19</v>
      </c>
      <c r="I438">
        <f>F438/E438</f>
        <v>1.0437956204379562</v>
      </c>
      <c r="J438">
        <f>YEAR(Table1[[#This Row],[Order Date]])</f>
        <v>2023</v>
      </c>
      <c r="K438" t="str">
        <f>TEXT(Table1[[#This Row],[Order Date]], "MMM")</f>
        <v>Jun</v>
      </c>
    </row>
    <row r="439" spans="1:11">
      <c r="A439">
        <v>1854</v>
      </c>
      <c r="B439" s="4" t="s">
        <v>180</v>
      </c>
      <c r="C439" t="s">
        <v>28</v>
      </c>
      <c r="D439" t="s">
        <v>25</v>
      </c>
      <c r="E439" s="8">
        <v>568</v>
      </c>
      <c r="F439" s="8">
        <v>137</v>
      </c>
      <c r="G439" t="s">
        <v>18</v>
      </c>
      <c r="H439" t="s">
        <v>19</v>
      </c>
      <c r="I439">
        <f>F439/E439</f>
        <v>0.24119718309859156</v>
      </c>
      <c r="J439">
        <f>YEAR(Table1[[#This Row],[Order Date]])</f>
        <v>2023</v>
      </c>
      <c r="K439" t="str">
        <f>TEXT(Table1[[#This Row],[Order Date]], "MMM")</f>
        <v>Jun</v>
      </c>
    </row>
    <row r="440" spans="1:11">
      <c r="A440">
        <v>1630</v>
      </c>
      <c r="B440" s="4" t="s">
        <v>181</v>
      </c>
      <c r="C440" t="s">
        <v>17</v>
      </c>
      <c r="D440" t="s">
        <v>22</v>
      </c>
      <c r="E440" s="8">
        <v>1290</v>
      </c>
      <c r="F440" s="8">
        <v>813</v>
      </c>
      <c r="G440" t="s">
        <v>14</v>
      </c>
      <c r="H440" t="s">
        <v>19</v>
      </c>
      <c r="I440">
        <f>F440/E440</f>
        <v>0.63023255813953494</v>
      </c>
      <c r="J440">
        <f>YEAR(Table1[[#This Row],[Order Date]])</f>
        <v>2023</v>
      </c>
      <c r="K440" t="str">
        <f>TEXT(Table1[[#This Row],[Order Date]], "MMM")</f>
        <v>Jun</v>
      </c>
    </row>
    <row r="441" spans="1:11">
      <c r="A441">
        <v>1136</v>
      </c>
      <c r="B441" s="4" t="s">
        <v>182</v>
      </c>
      <c r="C441" t="s">
        <v>21</v>
      </c>
      <c r="D441" t="s">
        <v>25</v>
      </c>
      <c r="E441" s="8">
        <v>1288</v>
      </c>
      <c r="F441" s="8">
        <v>576</v>
      </c>
      <c r="G441" t="s">
        <v>14</v>
      </c>
      <c r="H441" t="s">
        <v>19</v>
      </c>
      <c r="I441">
        <f>F441/E441</f>
        <v>0.44720496894409939</v>
      </c>
      <c r="J441">
        <f>YEAR(Table1[[#This Row],[Order Date]])</f>
        <v>2023</v>
      </c>
      <c r="K441" t="str">
        <f>TEXT(Table1[[#This Row],[Order Date]], "MMM")</f>
        <v>Jun</v>
      </c>
    </row>
    <row r="442" spans="1:11">
      <c r="A442">
        <v>1320</v>
      </c>
      <c r="B442" s="4" t="s">
        <v>182</v>
      </c>
      <c r="C442" t="s">
        <v>27</v>
      </c>
      <c r="D442" t="s">
        <v>25</v>
      </c>
      <c r="E442" s="8">
        <v>3536</v>
      </c>
      <c r="F442" s="8">
        <v>456</v>
      </c>
      <c r="G442" t="s">
        <v>23</v>
      </c>
      <c r="H442" t="s">
        <v>19</v>
      </c>
      <c r="I442">
        <f>F442/E442</f>
        <v>0.12895927601809956</v>
      </c>
      <c r="J442">
        <f>YEAR(Table1[[#This Row],[Order Date]])</f>
        <v>2023</v>
      </c>
      <c r="K442" t="str">
        <f>TEXT(Table1[[#This Row],[Order Date]], "MMM")</f>
        <v>Jun</v>
      </c>
    </row>
    <row r="443" spans="1:11">
      <c r="A443">
        <v>1605</v>
      </c>
      <c r="B443" s="4" t="s">
        <v>182</v>
      </c>
      <c r="C443" t="s">
        <v>12</v>
      </c>
      <c r="D443" t="s">
        <v>13</v>
      </c>
      <c r="E443" s="8">
        <v>965</v>
      </c>
      <c r="F443" s="8">
        <v>482</v>
      </c>
      <c r="G443" t="s">
        <v>18</v>
      </c>
      <c r="H443" t="s">
        <v>19</v>
      </c>
      <c r="I443">
        <f>F443/E443</f>
        <v>0.49948186528497407</v>
      </c>
      <c r="J443">
        <f>YEAR(Table1[[#This Row],[Order Date]])</f>
        <v>2023</v>
      </c>
      <c r="K443" t="str">
        <f>TEXT(Table1[[#This Row],[Order Date]], "MMM")</f>
        <v>Jun</v>
      </c>
    </row>
    <row r="444" spans="1:11">
      <c r="A444">
        <v>1783</v>
      </c>
      <c r="B444" s="4" t="s">
        <v>182</v>
      </c>
      <c r="C444" t="s">
        <v>21</v>
      </c>
      <c r="D444" t="s">
        <v>22</v>
      </c>
      <c r="E444" s="8">
        <v>4021</v>
      </c>
      <c r="F444" s="8">
        <v>594</v>
      </c>
      <c r="G444" t="s">
        <v>18</v>
      </c>
      <c r="H444" t="s">
        <v>19</v>
      </c>
      <c r="I444">
        <f>F444/E444</f>
        <v>0.14772444665506093</v>
      </c>
      <c r="J444">
        <f>YEAR(Table1[[#This Row],[Order Date]])</f>
        <v>2023</v>
      </c>
      <c r="K444" t="str">
        <f>TEXT(Table1[[#This Row],[Order Date]], "MMM")</f>
        <v>Jun</v>
      </c>
    </row>
    <row r="445" spans="1:11">
      <c r="A445">
        <v>1021</v>
      </c>
      <c r="B445" s="4" t="s">
        <v>183</v>
      </c>
      <c r="C445" t="s">
        <v>17</v>
      </c>
      <c r="D445" t="s">
        <v>13</v>
      </c>
      <c r="E445" s="8">
        <v>3467</v>
      </c>
      <c r="F445" s="8">
        <v>660</v>
      </c>
      <c r="G445" t="s">
        <v>23</v>
      </c>
      <c r="H445" t="s">
        <v>19</v>
      </c>
      <c r="I445">
        <f>F445/E445</f>
        <v>0.19036631093164119</v>
      </c>
      <c r="J445">
        <f>YEAR(Table1[[#This Row],[Order Date]])</f>
        <v>2023</v>
      </c>
      <c r="K445" t="str">
        <f>TEXT(Table1[[#This Row],[Order Date]], "MMM")</f>
        <v>Jun</v>
      </c>
    </row>
    <row r="446" spans="1:11">
      <c r="A446">
        <v>1008</v>
      </c>
      <c r="B446" s="4" t="s">
        <v>184</v>
      </c>
      <c r="C446" t="s">
        <v>21</v>
      </c>
      <c r="D446" t="s">
        <v>25</v>
      </c>
      <c r="E446" s="8">
        <v>1560</v>
      </c>
      <c r="F446" s="8">
        <v>542</v>
      </c>
      <c r="G446" t="s">
        <v>30</v>
      </c>
      <c r="H446" t="s">
        <v>19</v>
      </c>
      <c r="I446">
        <f>F446/E446</f>
        <v>0.34743589743589742</v>
      </c>
      <c r="J446">
        <f>YEAR(Table1[[#This Row],[Order Date]])</f>
        <v>2023</v>
      </c>
      <c r="K446" t="str">
        <f>TEXT(Table1[[#This Row],[Order Date]], "MMM")</f>
        <v>Jun</v>
      </c>
    </row>
    <row r="447" spans="1:11">
      <c r="A447">
        <v>1801</v>
      </c>
      <c r="B447" s="4" t="s">
        <v>184</v>
      </c>
      <c r="C447" t="s">
        <v>24</v>
      </c>
      <c r="D447" t="s">
        <v>13</v>
      </c>
      <c r="E447" s="8">
        <v>2070</v>
      </c>
      <c r="F447" s="8">
        <v>781</v>
      </c>
      <c r="G447" t="s">
        <v>18</v>
      </c>
      <c r="H447" t="s">
        <v>15</v>
      </c>
      <c r="I447">
        <f>F447/E447</f>
        <v>0.37729468599033816</v>
      </c>
      <c r="J447">
        <f>YEAR(Table1[[#This Row],[Order Date]])</f>
        <v>2023</v>
      </c>
      <c r="K447" t="str">
        <f>TEXT(Table1[[#This Row],[Order Date]], "MMM")</f>
        <v>Jun</v>
      </c>
    </row>
    <row r="448" spans="1:11">
      <c r="A448">
        <v>1808</v>
      </c>
      <c r="B448" s="4" t="s">
        <v>184</v>
      </c>
      <c r="C448" t="s">
        <v>24</v>
      </c>
      <c r="D448" t="s">
        <v>22</v>
      </c>
      <c r="E448" s="8">
        <v>2808</v>
      </c>
      <c r="F448" s="8">
        <v>337</v>
      </c>
      <c r="G448" t="s">
        <v>14</v>
      </c>
      <c r="H448" t="s">
        <v>15</v>
      </c>
      <c r="I448">
        <f>F448/E448</f>
        <v>0.12001424501424501</v>
      </c>
      <c r="J448">
        <f>YEAR(Table1[[#This Row],[Order Date]])</f>
        <v>2023</v>
      </c>
      <c r="K448" t="str">
        <f>TEXT(Table1[[#This Row],[Order Date]], "MMM")</f>
        <v>Jun</v>
      </c>
    </row>
    <row r="449" spans="1:11">
      <c r="A449">
        <v>1964</v>
      </c>
      <c r="B449" s="4" t="s">
        <v>184</v>
      </c>
      <c r="C449" t="s">
        <v>21</v>
      </c>
      <c r="D449" t="s">
        <v>13</v>
      </c>
      <c r="E449" s="8">
        <v>4314</v>
      </c>
      <c r="F449" s="8">
        <v>321</v>
      </c>
      <c r="G449" t="s">
        <v>18</v>
      </c>
      <c r="H449" t="s">
        <v>15</v>
      </c>
      <c r="I449">
        <f>F449/E449</f>
        <v>7.4408901251738532E-2</v>
      </c>
      <c r="J449">
        <f>YEAR(Table1[[#This Row],[Order Date]])</f>
        <v>2023</v>
      </c>
      <c r="K449" t="str">
        <f>TEXT(Table1[[#This Row],[Order Date]], "MMM")</f>
        <v>Jun</v>
      </c>
    </row>
    <row r="450" spans="1:11">
      <c r="A450">
        <v>1981</v>
      </c>
      <c r="B450" s="4" t="s">
        <v>184</v>
      </c>
      <c r="C450" t="s">
        <v>24</v>
      </c>
      <c r="D450" t="s">
        <v>13</v>
      </c>
      <c r="E450" s="8">
        <v>3221</v>
      </c>
      <c r="F450" s="8">
        <v>867</v>
      </c>
      <c r="G450" t="s">
        <v>18</v>
      </c>
      <c r="H450" t="s">
        <v>15</v>
      </c>
      <c r="I450">
        <f>F450/E450</f>
        <v>0.26917106488668113</v>
      </c>
      <c r="J450">
        <f>YEAR(Table1[[#This Row],[Order Date]])</f>
        <v>2023</v>
      </c>
      <c r="K450" t="str">
        <f>TEXT(Table1[[#This Row],[Order Date]], "MMM")</f>
        <v>Jun</v>
      </c>
    </row>
    <row r="451" spans="1:11">
      <c r="A451">
        <v>1220</v>
      </c>
      <c r="B451" s="4" t="s">
        <v>185</v>
      </c>
      <c r="C451" t="s">
        <v>24</v>
      </c>
      <c r="D451" t="s">
        <v>22</v>
      </c>
      <c r="E451" s="8">
        <v>697</v>
      </c>
      <c r="F451" s="8">
        <v>65</v>
      </c>
      <c r="G451" t="s">
        <v>14</v>
      </c>
      <c r="H451" t="s">
        <v>15</v>
      </c>
      <c r="I451">
        <f>F451/E451</f>
        <v>9.3256814921090392E-2</v>
      </c>
      <c r="J451">
        <f>YEAR(Table1[[#This Row],[Order Date]])</f>
        <v>2023</v>
      </c>
      <c r="K451" t="str">
        <f>TEXT(Table1[[#This Row],[Order Date]], "MMM")</f>
        <v>Jun</v>
      </c>
    </row>
    <row r="452" spans="1:11">
      <c r="A452">
        <v>1358</v>
      </c>
      <c r="B452" s="4" t="s">
        <v>185</v>
      </c>
      <c r="C452" t="s">
        <v>24</v>
      </c>
      <c r="D452" t="s">
        <v>22</v>
      </c>
      <c r="E452" s="8">
        <v>4400</v>
      </c>
      <c r="F452" s="8">
        <v>594</v>
      </c>
      <c r="G452" t="s">
        <v>23</v>
      </c>
      <c r="H452" t="s">
        <v>15</v>
      </c>
      <c r="I452">
        <f>F452/E452</f>
        <v>0.13500000000000001</v>
      </c>
      <c r="J452">
        <f>YEAR(Table1[[#This Row],[Order Date]])</f>
        <v>2023</v>
      </c>
      <c r="K452" t="str">
        <f>TEXT(Table1[[#This Row],[Order Date]], "MMM")</f>
        <v>Jun</v>
      </c>
    </row>
    <row r="453" spans="1:11">
      <c r="A453">
        <v>1946</v>
      </c>
      <c r="B453" s="4" t="s">
        <v>185</v>
      </c>
      <c r="C453" t="s">
        <v>27</v>
      </c>
      <c r="D453" t="s">
        <v>25</v>
      </c>
      <c r="E453" s="8">
        <v>1511</v>
      </c>
      <c r="F453" s="8">
        <v>937</v>
      </c>
      <c r="G453" t="s">
        <v>23</v>
      </c>
      <c r="H453" t="s">
        <v>15</v>
      </c>
      <c r="I453">
        <f>F453/E453</f>
        <v>0.62011912640635336</v>
      </c>
      <c r="J453">
        <f>YEAR(Table1[[#This Row],[Order Date]])</f>
        <v>2023</v>
      </c>
      <c r="K453" t="str">
        <f>TEXT(Table1[[#This Row],[Order Date]], "MMM")</f>
        <v>Jun</v>
      </c>
    </row>
    <row r="454" spans="1:11">
      <c r="A454">
        <v>1328</v>
      </c>
      <c r="B454" s="4" t="s">
        <v>186</v>
      </c>
      <c r="C454" t="s">
        <v>12</v>
      </c>
      <c r="D454" t="s">
        <v>13</v>
      </c>
      <c r="E454" s="8">
        <v>1371</v>
      </c>
      <c r="F454" s="8">
        <v>753</v>
      </c>
      <c r="G454" t="s">
        <v>30</v>
      </c>
      <c r="H454" t="s">
        <v>15</v>
      </c>
      <c r="I454">
        <f>F454/E454</f>
        <v>0.5492341356673961</v>
      </c>
      <c r="J454">
        <f>YEAR(Table1[[#This Row],[Order Date]])</f>
        <v>2023</v>
      </c>
      <c r="K454" t="str">
        <f>TEXT(Table1[[#This Row],[Order Date]], "MMM")</f>
        <v>Jun</v>
      </c>
    </row>
    <row r="455" spans="1:11">
      <c r="A455">
        <v>1324</v>
      </c>
      <c r="B455" s="4" t="s">
        <v>187</v>
      </c>
      <c r="C455" t="s">
        <v>27</v>
      </c>
      <c r="D455" t="s">
        <v>13</v>
      </c>
      <c r="E455" s="8">
        <v>710</v>
      </c>
      <c r="F455" s="8">
        <v>731</v>
      </c>
      <c r="G455" t="s">
        <v>14</v>
      </c>
      <c r="H455" t="s">
        <v>19</v>
      </c>
      <c r="I455">
        <f>F455/E455</f>
        <v>1.0295774647887324</v>
      </c>
      <c r="J455">
        <f>YEAR(Table1[[#This Row],[Order Date]])</f>
        <v>2023</v>
      </c>
      <c r="K455" t="str">
        <f>TEXT(Table1[[#This Row],[Order Date]], "MMM")</f>
        <v>Jun</v>
      </c>
    </row>
    <row r="456" spans="1:11">
      <c r="A456">
        <v>1043</v>
      </c>
      <c r="B456" s="4" t="s">
        <v>188</v>
      </c>
      <c r="C456" t="s">
        <v>24</v>
      </c>
      <c r="D456" t="s">
        <v>13</v>
      </c>
      <c r="E456" s="8">
        <v>734</v>
      </c>
      <c r="F456" s="8">
        <v>149</v>
      </c>
      <c r="G456" t="s">
        <v>18</v>
      </c>
      <c r="H456" t="s">
        <v>15</v>
      </c>
      <c r="I456">
        <f>F456/E456</f>
        <v>0.20299727520435967</v>
      </c>
      <c r="J456">
        <f>YEAR(Table1[[#This Row],[Order Date]])</f>
        <v>2023</v>
      </c>
      <c r="K456" t="str">
        <f>TEXT(Table1[[#This Row],[Order Date]], "MMM")</f>
        <v>Jun</v>
      </c>
    </row>
    <row r="457" spans="1:11">
      <c r="A457">
        <v>1083</v>
      </c>
      <c r="B457" s="4" t="s">
        <v>188</v>
      </c>
      <c r="C457" t="s">
        <v>27</v>
      </c>
      <c r="D457" t="s">
        <v>13</v>
      </c>
      <c r="E457" s="8">
        <v>963</v>
      </c>
      <c r="F457" s="8">
        <v>963</v>
      </c>
      <c r="G457" t="s">
        <v>23</v>
      </c>
      <c r="H457" t="s">
        <v>19</v>
      </c>
      <c r="I457">
        <f>F457/E457</f>
        <v>1</v>
      </c>
      <c r="J457">
        <f>YEAR(Table1[[#This Row],[Order Date]])</f>
        <v>2023</v>
      </c>
      <c r="K457" t="str">
        <f>TEXT(Table1[[#This Row],[Order Date]], "MMM")</f>
        <v>Jun</v>
      </c>
    </row>
    <row r="458" spans="1:11">
      <c r="A458">
        <v>1504</v>
      </c>
      <c r="B458" s="4" t="s">
        <v>188</v>
      </c>
      <c r="C458" t="s">
        <v>29</v>
      </c>
      <c r="D458" t="s">
        <v>22</v>
      </c>
      <c r="E458" s="8">
        <v>3923</v>
      </c>
      <c r="F458" s="8">
        <v>558</v>
      </c>
      <c r="G458" t="s">
        <v>23</v>
      </c>
      <c r="H458" t="s">
        <v>15</v>
      </c>
      <c r="I458">
        <f>F458/E458</f>
        <v>0.14223808309966862</v>
      </c>
      <c r="J458">
        <f>YEAR(Table1[[#This Row],[Order Date]])</f>
        <v>2023</v>
      </c>
      <c r="K458" t="str">
        <f>TEXT(Table1[[#This Row],[Order Date]], "MMM")</f>
        <v>Jun</v>
      </c>
    </row>
    <row r="459" spans="1:11">
      <c r="A459">
        <v>1609</v>
      </c>
      <c r="B459" s="4" t="s">
        <v>188</v>
      </c>
      <c r="C459" t="s">
        <v>28</v>
      </c>
      <c r="D459" t="s">
        <v>25</v>
      </c>
      <c r="E459" s="8">
        <v>2870</v>
      </c>
      <c r="F459" s="8">
        <v>276</v>
      </c>
      <c r="G459" t="s">
        <v>14</v>
      </c>
      <c r="H459" t="s">
        <v>15</v>
      </c>
      <c r="I459">
        <f>F459/E459</f>
        <v>9.616724738675958E-2</v>
      </c>
      <c r="J459">
        <f>YEAR(Table1[[#This Row],[Order Date]])</f>
        <v>2023</v>
      </c>
      <c r="K459" t="str">
        <f>TEXT(Table1[[#This Row],[Order Date]], "MMM")</f>
        <v>Jun</v>
      </c>
    </row>
    <row r="460" spans="1:11">
      <c r="A460">
        <v>1459</v>
      </c>
      <c r="B460" s="4" t="s">
        <v>189</v>
      </c>
      <c r="C460" t="s">
        <v>17</v>
      </c>
      <c r="D460" t="s">
        <v>25</v>
      </c>
      <c r="E460" s="8">
        <v>2851</v>
      </c>
      <c r="F460" s="8">
        <v>955</v>
      </c>
      <c r="G460" t="s">
        <v>18</v>
      </c>
      <c r="H460" t="s">
        <v>15</v>
      </c>
      <c r="I460">
        <f>F460/E460</f>
        <v>0.3349701858996843</v>
      </c>
      <c r="J460">
        <f>YEAR(Table1[[#This Row],[Order Date]])</f>
        <v>2023</v>
      </c>
      <c r="K460" t="str">
        <f>TEXT(Table1[[#This Row],[Order Date]], "MMM")</f>
        <v>Jun</v>
      </c>
    </row>
    <row r="461" spans="1:11">
      <c r="A461">
        <v>1917</v>
      </c>
      <c r="B461" s="4" t="s">
        <v>189</v>
      </c>
      <c r="C461" t="s">
        <v>28</v>
      </c>
      <c r="D461" t="s">
        <v>22</v>
      </c>
      <c r="E461" s="8">
        <v>1444</v>
      </c>
      <c r="F461" s="8">
        <v>154</v>
      </c>
      <c r="G461" t="s">
        <v>30</v>
      </c>
      <c r="H461" t="s">
        <v>15</v>
      </c>
      <c r="I461">
        <f>F461/E461</f>
        <v>0.10664819944598337</v>
      </c>
      <c r="J461">
        <f>YEAR(Table1[[#This Row],[Order Date]])</f>
        <v>2023</v>
      </c>
      <c r="K461" t="str">
        <f>TEXT(Table1[[#This Row],[Order Date]], "MMM")</f>
        <v>Jun</v>
      </c>
    </row>
    <row r="462" spans="1:11">
      <c r="A462">
        <v>1016</v>
      </c>
      <c r="B462" s="4" t="s">
        <v>190</v>
      </c>
      <c r="C462" t="s">
        <v>28</v>
      </c>
      <c r="D462" t="s">
        <v>22</v>
      </c>
      <c r="E462" s="8">
        <v>632</v>
      </c>
      <c r="F462" s="8">
        <v>39</v>
      </c>
      <c r="G462" t="s">
        <v>23</v>
      </c>
      <c r="H462" t="s">
        <v>15</v>
      </c>
      <c r="I462">
        <f>F462/E462</f>
        <v>6.1708860759493674E-2</v>
      </c>
      <c r="J462">
        <f>YEAR(Table1[[#This Row],[Order Date]])</f>
        <v>2023</v>
      </c>
      <c r="K462" t="str">
        <f>TEXT(Table1[[#This Row],[Order Date]], "MMM")</f>
        <v>Jun</v>
      </c>
    </row>
    <row r="463" spans="1:11">
      <c r="A463">
        <v>1449</v>
      </c>
      <c r="B463" s="4" t="s">
        <v>190</v>
      </c>
      <c r="C463" t="s">
        <v>17</v>
      </c>
      <c r="D463" t="s">
        <v>22</v>
      </c>
      <c r="E463" s="8">
        <v>1967</v>
      </c>
      <c r="F463" s="8">
        <v>685</v>
      </c>
      <c r="G463" t="s">
        <v>30</v>
      </c>
      <c r="H463" t="s">
        <v>19</v>
      </c>
      <c r="I463">
        <f>F463/E463</f>
        <v>0.34824605998983221</v>
      </c>
      <c r="J463">
        <f>YEAR(Table1[[#This Row],[Order Date]])</f>
        <v>2023</v>
      </c>
      <c r="K463" t="str">
        <f>TEXT(Table1[[#This Row],[Order Date]], "MMM")</f>
        <v>Jun</v>
      </c>
    </row>
    <row r="464" spans="1:11">
      <c r="A464">
        <v>1766</v>
      </c>
      <c r="B464" s="4" t="s">
        <v>190</v>
      </c>
      <c r="C464" t="s">
        <v>27</v>
      </c>
      <c r="D464" t="s">
        <v>22</v>
      </c>
      <c r="E464" s="8">
        <v>3560</v>
      </c>
      <c r="F464" s="8">
        <v>310</v>
      </c>
      <c r="G464" t="s">
        <v>18</v>
      </c>
      <c r="H464" t="s">
        <v>15</v>
      </c>
      <c r="I464">
        <f>F464/E464</f>
        <v>8.7078651685393263E-2</v>
      </c>
      <c r="J464">
        <f>YEAR(Table1[[#This Row],[Order Date]])</f>
        <v>2023</v>
      </c>
      <c r="K464" t="str">
        <f>TEXT(Table1[[#This Row],[Order Date]], "MMM")</f>
        <v>Jun</v>
      </c>
    </row>
    <row r="465" spans="1:11">
      <c r="A465">
        <v>1951</v>
      </c>
      <c r="B465" s="4" t="s">
        <v>190</v>
      </c>
      <c r="C465" t="s">
        <v>29</v>
      </c>
      <c r="D465" t="s">
        <v>25</v>
      </c>
      <c r="E465" s="8">
        <v>4959</v>
      </c>
      <c r="F465" s="8">
        <v>574</v>
      </c>
      <c r="G465" t="s">
        <v>30</v>
      </c>
      <c r="H465" t="s">
        <v>19</v>
      </c>
      <c r="I465">
        <f>F465/E465</f>
        <v>0.11574914297237346</v>
      </c>
      <c r="J465">
        <f>YEAR(Table1[[#This Row],[Order Date]])</f>
        <v>2023</v>
      </c>
      <c r="K465" t="str">
        <f>TEXT(Table1[[#This Row],[Order Date]], "MMM")</f>
        <v>Jun</v>
      </c>
    </row>
    <row r="466" spans="1:11">
      <c r="A466">
        <v>1210</v>
      </c>
      <c r="B466" s="4" t="s">
        <v>191</v>
      </c>
      <c r="C466" t="s">
        <v>24</v>
      </c>
      <c r="D466" t="s">
        <v>13</v>
      </c>
      <c r="E466" s="8">
        <v>2902</v>
      </c>
      <c r="F466" s="8">
        <v>736</v>
      </c>
      <c r="G466" t="s">
        <v>23</v>
      </c>
      <c r="H466" t="s">
        <v>15</v>
      </c>
      <c r="I466">
        <f>F466/E466</f>
        <v>0.25361819434872501</v>
      </c>
      <c r="J466">
        <f>YEAR(Table1[[#This Row],[Order Date]])</f>
        <v>2023</v>
      </c>
      <c r="K466" t="str">
        <f>TEXT(Table1[[#This Row],[Order Date]], "MMM")</f>
        <v>Jun</v>
      </c>
    </row>
    <row r="467" spans="1:11">
      <c r="A467">
        <v>1399</v>
      </c>
      <c r="B467" s="4" t="s">
        <v>191</v>
      </c>
      <c r="C467" t="s">
        <v>24</v>
      </c>
      <c r="D467" t="s">
        <v>13</v>
      </c>
      <c r="E467" s="8">
        <v>3401</v>
      </c>
      <c r="F467" s="8">
        <v>567</v>
      </c>
      <c r="G467" t="s">
        <v>23</v>
      </c>
      <c r="H467" t="s">
        <v>19</v>
      </c>
      <c r="I467">
        <f>F467/E467</f>
        <v>0.1667156718612173</v>
      </c>
      <c r="J467">
        <f>YEAR(Table1[[#This Row],[Order Date]])</f>
        <v>2023</v>
      </c>
      <c r="K467" t="str">
        <f>TEXT(Table1[[#This Row],[Order Date]], "MMM")</f>
        <v>Jun</v>
      </c>
    </row>
    <row r="468" spans="1:11">
      <c r="A468">
        <v>1587</v>
      </c>
      <c r="B468" s="4" t="s">
        <v>191</v>
      </c>
      <c r="C468" t="s">
        <v>21</v>
      </c>
      <c r="D468" t="s">
        <v>25</v>
      </c>
      <c r="E468" s="8">
        <v>4795</v>
      </c>
      <c r="F468" s="8">
        <v>317</v>
      </c>
      <c r="G468" t="s">
        <v>30</v>
      </c>
      <c r="H468" t="s">
        <v>15</v>
      </c>
      <c r="I468">
        <f>F468/E468</f>
        <v>6.6110531803962466E-2</v>
      </c>
      <c r="J468">
        <f>YEAR(Table1[[#This Row],[Order Date]])</f>
        <v>2023</v>
      </c>
      <c r="K468" t="str">
        <f>TEXT(Table1[[#This Row],[Order Date]], "MMM")</f>
        <v>Jun</v>
      </c>
    </row>
    <row r="469" spans="1:11">
      <c r="A469">
        <v>1974</v>
      </c>
      <c r="B469" s="4" t="s">
        <v>192</v>
      </c>
      <c r="C469" t="s">
        <v>28</v>
      </c>
      <c r="D469" t="s">
        <v>13</v>
      </c>
      <c r="E469" s="8">
        <v>4722</v>
      </c>
      <c r="F469" s="8">
        <v>335</v>
      </c>
      <c r="G469" t="s">
        <v>14</v>
      </c>
      <c r="H469" t="s">
        <v>19</v>
      </c>
      <c r="I469">
        <f>F469/E469</f>
        <v>7.0944515036001687E-2</v>
      </c>
      <c r="J469">
        <f>YEAR(Table1[[#This Row],[Order Date]])</f>
        <v>2023</v>
      </c>
      <c r="K469" t="str">
        <f>TEXT(Table1[[#This Row],[Order Date]], "MMM")</f>
        <v>Jun</v>
      </c>
    </row>
    <row r="470" spans="1:11">
      <c r="A470">
        <v>1982</v>
      </c>
      <c r="B470" s="4" t="s">
        <v>192</v>
      </c>
      <c r="C470" t="s">
        <v>17</v>
      </c>
      <c r="D470" t="s">
        <v>22</v>
      </c>
      <c r="E470" s="8">
        <v>592</v>
      </c>
      <c r="F470" s="8">
        <v>254</v>
      </c>
      <c r="G470" t="s">
        <v>14</v>
      </c>
      <c r="H470" t="s">
        <v>15</v>
      </c>
      <c r="I470">
        <f>F470/E470</f>
        <v>0.42905405405405406</v>
      </c>
      <c r="J470">
        <f>YEAR(Table1[[#This Row],[Order Date]])</f>
        <v>2023</v>
      </c>
      <c r="K470" t="str">
        <f>TEXT(Table1[[#This Row],[Order Date]], "MMM")</f>
        <v>Jun</v>
      </c>
    </row>
    <row r="471" spans="1:11">
      <c r="A471">
        <v>1215</v>
      </c>
      <c r="B471" s="4" t="s">
        <v>193</v>
      </c>
      <c r="C471" t="s">
        <v>21</v>
      </c>
      <c r="D471" t="s">
        <v>13</v>
      </c>
      <c r="E471" s="8">
        <v>1854</v>
      </c>
      <c r="F471" s="8">
        <v>169</v>
      </c>
      <c r="G471" t="s">
        <v>18</v>
      </c>
      <c r="H471" t="s">
        <v>19</v>
      </c>
      <c r="I471">
        <f>F471/E471</f>
        <v>9.1154261057173683E-2</v>
      </c>
      <c r="J471">
        <f>YEAR(Table1[[#This Row],[Order Date]])</f>
        <v>2023</v>
      </c>
      <c r="K471" t="str">
        <f>TEXT(Table1[[#This Row],[Order Date]], "MMM")</f>
        <v>Jun</v>
      </c>
    </row>
    <row r="472" spans="1:11">
      <c r="A472">
        <v>1250</v>
      </c>
      <c r="B472" s="4" t="s">
        <v>193</v>
      </c>
      <c r="C472" t="s">
        <v>27</v>
      </c>
      <c r="D472" t="s">
        <v>13</v>
      </c>
      <c r="E472" s="8">
        <v>2050</v>
      </c>
      <c r="F472" s="8">
        <v>335</v>
      </c>
      <c r="G472" t="s">
        <v>18</v>
      </c>
      <c r="H472" t="s">
        <v>19</v>
      </c>
      <c r="I472">
        <f>F472/E472</f>
        <v>0.16341463414634147</v>
      </c>
      <c r="J472">
        <f>YEAR(Table1[[#This Row],[Order Date]])</f>
        <v>2023</v>
      </c>
      <c r="K472" t="str">
        <f>TEXT(Table1[[#This Row],[Order Date]], "MMM")</f>
        <v>Jun</v>
      </c>
    </row>
    <row r="473" spans="1:11">
      <c r="A473">
        <v>1059</v>
      </c>
      <c r="B473" s="4" t="s">
        <v>194</v>
      </c>
      <c r="C473" t="s">
        <v>24</v>
      </c>
      <c r="D473" t="s">
        <v>25</v>
      </c>
      <c r="E473" s="8">
        <v>757</v>
      </c>
      <c r="F473" s="8">
        <v>58</v>
      </c>
      <c r="G473" t="s">
        <v>23</v>
      </c>
      <c r="H473" t="s">
        <v>19</v>
      </c>
      <c r="I473">
        <f>F473/E473</f>
        <v>7.6618229854689565E-2</v>
      </c>
      <c r="J473">
        <f>YEAR(Table1[[#This Row],[Order Date]])</f>
        <v>2023</v>
      </c>
      <c r="K473" t="str">
        <f>TEXT(Table1[[#This Row],[Order Date]], "MMM")</f>
        <v>Jun</v>
      </c>
    </row>
    <row r="474" spans="1:11">
      <c r="A474">
        <v>1087</v>
      </c>
      <c r="B474" s="4" t="s">
        <v>194</v>
      </c>
      <c r="C474" t="s">
        <v>12</v>
      </c>
      <c r="D474" t="s">
        <v>25</v>
      </c>
      <c r="E474" s="8">
        <v>1010</v>
      </c>
      <c r="F474" s="8">
        <v>853</v>
      </c>
      <c r="G474" t="s">
        <v>23</v>
      </c>
      <c r="H474" t="s">
        <v>15</v>
      </c>
      <c r="I474">
        <f>F474/E474</f>
        <v>0.84455445544554453</v>
      </c>
      <c r="J474">
        <f>YEAR(Table1[[#This Row],[Order Date]])</f>
        <v>2023</v>
      </c>
      <c r="K474" t="str">
        <f>TEXT(Table1[[#This Row],[Order Date]], "MMM")</f>
        <v>Jun</v>
      </c>
    </row>
    <row r="475" spans="1:11">
      <c r="A475">
        <v>1162</v>
      </c>
      <c r="B475" s="4" t="s">
        <v>194</v>
      </c>
      <c r="C475" t="s">
        <v>17</v>
      </c>
      <c r="D475" t="s">
        <v>13</v>
      </c>
      <c r="E475" s="8">
        <v>1241</v>
      </c>
      <c r="F475" s="8">
        <v>415</v>
      </c>
      <c r="G475" t="s">
        <v>23</v>
      </c>
      <c r="H475" t="s">
        <v>15</v>
      </c>
      <c r="I475">
        <f>F475/E475</f>
        <v>0.33440773569701854</v>
      </c>
      <c r="J475">
        <f>YEAR(Table1[[#This Row],[Order Date]])</f>
        <v>2023</v>
      </c>
      <c r="K475" t="str">
        <f>TEXT(Table1[[#This Row],[Order Date]], "MMM")</f>
        <v>Jun</v>
      </c>
    </row>
    <row r="476" spans="1:11">
      <c r="A476">
        <v>1939</v>
      </c>
      <c r="B476" s="4" t="s">
        <v>194</v>
      </c>
      <c r="C476" t="s">
        <v>29</v>
      </c>
      <c r="D476" t="s">
        <v>13</v>
      </c>
      <c r="E476" s="8">
        <v>2305</v>
      </c>
      <c r="F476" s="8">
        <v>49</v>
      </c>
      <c r="G476" t="s">
        <v>23</v>
      </c>
      <c r="H476" t="s">
        <v>15</v>
      </c>
      <c r="I476">
        <f>F476/E476</f>
        <v>2.1258134490238612E-2</v>
      </c>
      <c r="J476">
        <f>YEAR(Table1[[#This Row],[Order Date]])</f>
        <v>2023</v>
      </c>
      <c r="K476" t="str">
        <f>TEXT(Table1[[#This Row],[Order Date]], "MMM")</f>
        <v>Jun</v>
      </c>
    </row>
    <row r="477" spans="1:11">
      <c r="A477">
        <v>1061</v>
      </c>
      <c r="B477" s="4" t="s">
        <v>195</v>
      </c>
      <c r="C477" t="s">
        <v>27</v>
      </c>
      <c r="D477" t="s">
        <v>13</v>
      </c>
      <c r="E477" s="8">
        <v>2352</v>
      </c>
      <c r="F477" s="8">
        <v>556</v>
      </c>
      <c r="G477" t="s">
        <v>23</v>
      </c>
      <c r="H477" t="s">
        <v>19</v>
      </c>
      <c r="I477">
        <f>F477/E477</f>
        <v>0.23639455782312926</v>
      </c>
      <c r="J477">
        <f>YEAR(Table1[[#This Row],[Order Date]])</f>
        <v>2023</v>
      </c>
      <c r="K477" t="str">
        <f>TEXT(Table1[[#This Row],[Order Date]], "MMM")</f>
        <v>Jun</v>
      </c>
    </row>
    <row r="478" spans="1:11">
      <c r="A478">
        <v>1361</v>
      </c>
      <c r="B478" s="4" t="s">
        <v>195</v>
      </c>
      <c r="C478" t="s">
        <v>24</v>
      </c>
      <c r="D478" t="s">
        <v>13</v>
      </c>
      <c r="E478" s="8">
        <v>2154</v>
      </c>
      <c r="F478" s="8">
        <v>767</v>
      </c>
      <c r="G478" t="s">
        <v>23</v>
      </c>
      <c r="H478" t="s">
        <v>15</v>
      </c>
      <c r="I478">
        <f>F478/E478</f>
        <v>0.35608170844939646</v>
      </c>
      <c r="J478">
        <f>YEAR(Table1[[#This Row],[Order Date]])</f>
        <v>2023</v>
      </c>
      <c r="K478" t="str">
        <f>TEXT(Table1[[#This Row],[Order Date]], "MMM")</f>
        <v>Jun</v>
      </c>
    </row>
    <row r="479" spans="1:11">
      <c r="A479">
        <v>1509</v>
      </c>
      <c r="B479" s="4" t="s">
        <v>195</v>
      </c>
      <c r="C479" t="s">
        <v>12</v>
      </c>
      <c r="D479" t="s">
        <v>25</v>
      </c>
      <c r="E479" s="8">
        <v>4967</v>
      </c>
      <c r="F479" s="8">
        <v>678</v>
      </c>
      <c r="G479" t="s">
        <v>18</v>
      </c>
      <c r="H479" t="s">
        <v>19</v>
      </c>
      <c r="I479">
        <f>F479/E479</f>
        <v>0.13650090597946446</v>
      </c>
      <c r="J479">
        <f>YEAR(Table1[[#This Row],[Order Date]])</f>
        <v>2023</v>
      </c>
      <c r="K479" t="str">
        <f>TEXT(Table1[[#This Row],[Order Date]], "MMM")</f>
        <v>Jun</v>
      </c>
    </row>
    <row r="480" spans="1:11">
      <c r="A480">
        <v>1663</v>
      </c>
      <c r="B480" s="4" t="s">
        <v>195</v>
      </c>
      <c r="C480" t="s">
        <v>17</v>
      </c>
      <c r="D480" t="s">
        <v>22</v>
      </c>
      <c r="E480" s="8">
        <v>2120</v>
      </c>
      <c r="F480" s="8">
        <v>593</v>
      </c>
      <c r="G480" t="s">
        <v>23</v>
      </c>
      <c r="H480" t="s">
        <v>15</v>
      </c>
      <c r="I480">
        <f>F480/E480</f>
        <v>0.27971698113207549</v>
      </c>
      <c r="J480">
        <f>YEAR(Table1[[#This Row],[Order Date]])</f>
        <v>2023</v>
      </c>
      <c r="K480" t="str">
        <f>TEXT(Table1[[#This Row],[Order Date]], "MMM")</f>
        <v>Jun</v>
      </c>
    </row>
    <row r="481" spans="1:11">
      <c r="A481">
        <v>1076</v>
      </c>
      <c r="B481" s="4" t="s">
        <v>196</v>
      </c>
      <c r="C481" t="s">
        <v>17</v>
      </c>
      <c r="D481" t="s">
        <v>22</v>
      </c>
      <c r="E481" s="8">
        <v>3064</v>
      </c>
      <c r="F481" s="8">
        <v>573</v>
      </c>
      <c r="G481" t="s">
        <v>14</v>
      </c>
      <c r="H481" t="s">
        <v>19</v>
      </c>
      <c r="I481">
        <f>F481/E481</f>
        <v>0.18701044386422977</v>
      </c>
      <c r="J481">
        <f>YEAR(Table1[[#This Row],[Order Date]])</f>
        <v>2023</v>
      </c>
      <c r="K481" t="str">
        <f>TEXT(Table1[[#This Row],[Order Date]], "MMM")</f>
        <v>Jun</v>
      </c>
    </row>
    <row r="482" spans="1:11">
      <c r="A482">
        <v>1129</v>
      </c>
      <c r="B482" s="4" t="s">
        <v>196</v>
      </c>
      <c r="C482" t="s">
        <v>24</v>
      </c>
      <c r="D482" t="s">
        <v>13</v>
      </c>
      <c r="E482" s="8">
        <v>3631</v>
      </c>
      <c r="F482" s="8">
        <v>328</v>
      </c>
      <c r="G482" t="s">
        <v>18</v>
      </c>
      <c r="H482" t="s">
        <v>19</v>
      </c>
      <c r="I482">
        <f>F482/E482</f>
        <v>9.0333241531258601E-2</v>
      </c>
      <c r="J482">
        <f>YEAR(Table1[[#This Row],[Order Date]])</f>
        <v>2023</v>
      </c>
      <c r="K482" t="str">
        <f>TEXT(Table1[[#This Row],[Order Date]], "MMM")</f>
        <v>Jun</v>
      </c>
    </row>
    <row r="483" spans="1:11">
      <c r="A483">
        <v>1390</v>
      </c>
      <c r="B483" s="4" t="s">
        <v>196</v>
      </c>
      <c r="C483" t="s">
        <v>27</v>
      </c>
      <c r="D483" t="s">
        <v>13</v>
      </c>
      <c r="E483" s="8">
        <v>4568</v>
      </c>
      <c r="F483" s="8">
        <v>202</v>
      </c>
      <c r="G483" t="s">
        <v>30</v>
      </c>
      <c r="H483" t="s">
        <v>15</v>
      </c>
      <c r="I483">
        <f>F483/E483</f>
        <v>4.4220665499124345E-2</v>
      </c>
      <c r="J483">
        <f>YEAR(Table1[[#This Row],[Order Date]])</f>
        <v>2023</v>
      </c>
      <c r="K483" t="str">
        <f>TEXT(Table1[[#This Row],[Order Date]], "MMM")</f>
        <v>Jun</v>
      </c>
    </row>
    <row r="484" spans="1:11">
      <c r="A484">
        <v>1547</v>
      </c>
      <c r="B484" s="4" t="s">
        <v>196</v>
      </c>
      <c r="C484" t="s">
        <v>17</v>
      </c>
      <c r="D484" t="s">
        <v>22</v>
      </c>
      <c r="E484" s="8">
        <v>2629</v>
      </c>
      <c r="F484" s="8">
        <v>396</v>
      </c>
      <c r="G484" t="s">
        <v>23</v>
      </c>
      <c r="H484" t="s">
        <v>19</v>
      </c>
      <c r="I484">
        <f>F484/E484</f>
        <v>0.15062761506276151</v>
      </c>
      <c r="J484">
        <f>YEAR(Table1[[#This Row],[Order Date]])</f>
        <v>2023</v>
      </c>
      <c r="K484" t="str">
        <f>TEXT(Table1[[#This Row],[Order Date]], "MMM")</f>
        <v>Jun</v>
      </c>
    </row>
    <row r="485" spans="1:11">
      <c r="A485">
        <v>1612</v>
      </c>
      <c r="B485" s="4" t="s">
        <v>196</v>
      </c>
      <c r="C485" t="s">
        <v>29</v>
      </c>
      <c r="D485" t="s">
        <v>25</v>
      </c>
      <c r="E485" s="8">
        <v>3498</v>
      </c>
      <c r="F485" s="8">
        <v>398</v>
      </c>
      <c r="G485" t="s">
        <v>23</v>
      </c>
      <c r="H485" t="s">
        <v>19</v>
      </c>
      <c r="I485">
        <f>F485/E485</f>
        <v>0.11377930245854774</v>
      </c>
      <c r="J485">
        <f>YEAR(Table1[[#This Row],[Order Date]])</f>
        <v>2023</v>
      </c>
      <c r="K485" t="str">
        <f>TEXT(Table1[[#This Row],[Order Date]], "MMM")</f>
        <v>Jun</v>
      </c>
    </row>
    <row r="486" spans="1:11">
      <c r="A486">
        <v>1571</v>
      </c>
      <c r="B486" s="4" t="s">
        <v>197</v>
      </c>
      <c r="C486" t="s">
        <v>21</v>
      </c>
      <c r="D486" t="s">
        <v>22</v>
      </c>
      <c r="E486" s="8">
        <v>1679</v>
      </c>
      <c r="F486" s="8">
        <v>819</v>
      </c>
      <c r="G486" t="s">
        <v>18</v>
      </c>
      <c r="H486" t="s">
        <v>15</v>
      </c>
      <c r="I486">
        <f>F486/E486</f>
        <v>0.48779035139964266</v>
      </c>
      <c r="J486">
        <f>YEAR(Table1[[#This Row],[Order Date]])</f>
        <v>2023</v>
      </c>
      <c r="K486" t="str">
        <f>TEXT(Table1[[#This Row],[Order Date]], "MMM")</f>
        <v>Jul</v>
      </c>
    </row>
    <row r="487" spans="1:11">
      <c r="A487">
        <v>1186</v>
      </c>
      <c r="B487" s="4" t="s">
        <v>198</v>
      </c>
      <c r="C487" t="s">
        <v>28</v>
      </c>
      <c r="D487" t="s">
        <v>25</v>
      </c>
      <c r="E487" s="8">
        <v>2436</v>
      </c>
      <c r="F487" s="8">
        <v>99</v>
      </c>
      <c r="G487" t="s">
        <v>30</v>
      </c>
      <c r="H487" t="s">
        <v>15</v>
      </c>
      <c r="I487">
        <f>F487/E487</f>
        <v>4.064039408866995E-2</v>
      </c>
      <c r="J487">
        <f>YEAR(Table1[[#This Row],[Order Date]])</f>
        <v>2023</v>
      </c>
      <c r="K487" t="str">
        <f>TEXT(Table1[[#This Row],[Order Date]], "MMM")</f>
        <v>Jul</v>
      </c>
    </row>
    <row r="488" spans="1:11">
      <c r="A488">
        <v>1578</v>
      </c>
      <c r="B488" s="4" t="s">
        <v>198</v>
      </c>
      <c r="C488" t="s">
        <v>17</v>
      </c>
      <c r="D488" t="s">
        <v>22</v>
      </c>
      <c r="E488" s="8">
        <v>1276</v>
      </c>
      <c r="F488" s="8">
        <v>837</v>
      </c>
      <c r="G488" t="s">
        <v>30</v>
      </c>
      <c r="H488" t="s">
        <v>15</v>
      </c>
      <c r="I488">
        <f>F488/E488</f>
        <v>0.65595611285266453</v>
      </c>
      <c r="J488">
        <f>YEAR(Table1[[#This Row],[Order Date]])</f>
        <v>2023</v>
      </c>
      <c r="K488" t="str">
        <f>TEXT(Table1[[#This Row],[Order Date]], "MMM")</f>
        <v>Jul</v>
      </c>
    </row>
    <row r="489" spans="1:11">
      <c r="A489">
        <v>1987</v>
      </c>
      <c r="B489" s="4" t="s">
        <v>198</v>
      </c>
      <c r="C489" t="s">
        <v>27</v>
      </c>
      <c r="D489" t="s">
        <v>25</v>
      </c>
      <c r="E489" s="8">
        <v>4012</v>
      </c>
      <c r="F489" s="8">
        <v>403</v>
      </c>
      <c r="G489" t="s">
        <v>14</v>
      </c>
      <c r="H489" t="s">
        <v>15</v>
      </c>
      <c r="I489">
        <f>F489/E489</f>
        <v>0.10044865403788635</v>
      </c>
      <c r="J489">
        <f>YEAR(Table1[[#This Row],[Order Date]])</f>
        <v>2023</v>
      </c>
      <c r="K489" t="str">
        <f>TEXT(Table1[[#This Row],[Order Date]], "MMM")</f>
        <v>Jul</v>
      </c>
    </row>
    <row r="490" spans="1:11">
      <c r="A490">
        <v>1151</v>
      </c>
      <c r="B490" s="4" t="s">
        <v>199</v>
      </c>
      <c r="C490" t="s">
        <v>17</v>
      </c>
      <c r="D490" t="s">
        <v>22</v>
      </c>
      <c r="E490" s="8">
        <v>3924</v>
      </c>
      <c r="F490" s="8">
        <v>311</v>
      </c>
      <c r="G490" t="s">
        <v>14</v>
      </c>
      <c r="H490" t="s">
        <v>15</v>
      </c>
      <c r="I490">
        <f>F490/E490</f>
        <v>7.9255861365953112E-2</v>
      </c>
      <c r="J490">
        <f>YEAR(Table1[[#This Row],[Order Date]])</f>
        <v>2023</v>
      </c>
      <c r="K490" t="str">
        <f>TEXT(Table1[[#This Row],[Order Date]], "MMM")</f>
        <v>Jul</v>
      </c>
    </row>
    <row r="491" spans="1:11">
      <c r="A491">
        <v>1287</v>
      </c>
      <c r="B491" s="4" t="s">
        <v>199</v>
      </c>
      <c r="C491" t="s">
        <v>24</v>
      </c>
      <c r="D491" t="s">
        <v>13</v>
      </c>
      <c r="E491" s="8">
        <v>3728</v>
      </c>
      <c r="F491" s="8">
        <v>875</v>
      </c>
      <c r="G491" t="s">
        <v>23</v>
      </c>
      <c r="H491" t="s">
        <v>19</v>
      </c>
      <c r="I491">
        <f>F491/E491</f>
        <v>0.23471030042918456</v>
      </c>
      <c r="J491">
        <f>YEAR(Table1[[#This Row],[Order Date]])</f>
        <v>2023</v>
      </c>
      <c r="K491" t="str">
        <f>TEXT(Table1[[#This Row],[Order Date]], "MMM")</f>
        <v>Jul</v>
      </c>
    </row>
    <row r="492" spans="1:11">
      <c r="A492">
        <v>1519</v>
      </c>
      <c r="B492" s="4" t="s">
        <v>199</v>
      </c>
      <c r="C492" t="s">
        <v>28</v>
      </c>
      <c r="D492" t="s">
        <v>25</v>
      </c>
      <c r="E492" s="8">
        <v>4538</v>
      </c>
      <c r="F492" s="8">
        <v>103</v>
      </c>
      <c r="G492" t="s">
        <v>18</v>
      </c>
      <c r="H492" t="s">
        <v>19</v>
      </c>
      <c r="I492">
        <f>F492/E492</f>
        <v>2.2697223446452183E-2</v>
      </c>
      <c r="J492">
        <f>YEAR(Table1[[#This Row],[Order Date]])</f>
        <v>2023</v>
      </c>
      <c r="K492" t="str">
        <f>TEXT(Table1[[#This Row],[Order Date]], "MMM")</f>
        <v>Jul</v>
      </c>
    </row>
    <row r="493" spans="1:11">
      <c r="A493">
        <v>1897</v>
      </c>
      <c r="B493" s="4" t="s">
        <v>199</v>
      </c>
      <c r="C493" t="s">
        <v>21</v>
      </c>
      <c r="D493" t="s">
        <v>25</v>
      </c>
      <c r="E493" s="8">
        <v>1883</v>
      </c>
      <c r="F493" s="8">
        <v>600</v>
      </c>
      <c r="G493" t="s">
        <v>23</v>
      </c>
      <c r="H493" t="s">
        <v>19</v>
      </c>
      <c r="I493">
        <f>F493/E493</f>
        <v>0.31864046733935208</v>
      </c>
      <c r="J493">
        <f>YEAR(Table1[[#This Row],[Order Date]])</f>
        <v>2023</v>
      </c>
      <c r="K493" t="str">
        <f>TEXT(Table1[[#This Row],[Order Date]], "MMM")</f>
        <v>Jul</v>
      </c>
    </row>
    <row r="494" spans="1:11">
      <c r="A494">
        <v>1126</v>
      </c>
      <c r="B494" s="4" t="s">
        <v>200</v>
      </c>
      <c r="C494" t="s">
        <v>17</v>
      </c>
      <c r="D494" t="s">
        <v>22</v>
      </c>
      <c r="E494" s="8">
        <v>1864</v>
      </c>
      <c r="F494" s="8">
        <v>901</v>
      </c>
      <c r="G494" t="s">
        <v>23</v>
      </c>
      <c r="H494" t="s">
        <v>19</v>
      </c>
      <c r="I494">
        <f>F494/E494</f>
        <v>0.48336909871244638</v>
      </c>
      <c r="J494">
        <f>YEAR(Table1[[#This Row],[Order Date]])</f>
        <v>2023</v>
      </c>
      <c r="K494" t="str">
        <f>TEXT(Table1[[#This Row],[Order Date]], "MMM")</f>
        <v>Jul</v>
      </c>
    </row>
    <row r="495" spans="1:11">
      <c r="A495">
        <v>1217</v>
      </c>
      <c r="B495" s="4" t="s">
        <v>200</v>
      </c>
      <c r="C495" t="s">
        <v>28</v>
      </c>
      <c r="D495" t="s">
        <v>13</v>
      </c>
      <c r="E495" s="8">
        <v>1704</v>
      </c>
      <c r="F495" s="8">
        <v>29</v>
      </c>
      <c r="G495" t="s">
        <v>23</v>
      </c>
      <c r="H495" t="s">
        <v>19</v>
      </c>
      <c r="I495">
        <f>F495/E495</f>
        <v>1.7018779342723004E-2</v>
      </c>
      <c r="J495">
        <f>YEAR(Table1[[#This Row],[Order Date]])</f>
        <v>2023</v>
      </c>
      <c r="K495" t="str">
        <f>TEXT(Table1[[#This Row],[Order Date]], "MMM")</f>
        <v>Jul</v>
      </c>
    </row>
    <row r="496" spans="1:11">
      <c r="A496">
        <v>1754</v>
      </c>
      <c r="B496" s="4" t="s">
        <v>200</v>
      </c>
      <c r="C496" t="s">
        <v>12</v>
      </c>
      <c r="D496" t="s">
        <v>13</v>
      </c>
      <c r="E496" s="8">
        <v>4226</v>
      </c>
      <c r="F496" s="8">
        <v>783</v>
      </c>
      <c r="G496" t="s">
        <v>14</v>
      </c>
      <c r="H496" t="s">
        <v>15</v>
      </c>
      <c r="I496">
        <f>F496/E496</f>
        <v>0.18528159015617604</v>
      </c>
      <c r="J496">
        <f>YEAR(Table1[[#This Row],[Order Date]])</f>
        <v>2023</v>
      </c>
      <c r="K496" t="str">
        <f>TEXT(Table1[[#This Row],[Order Date]], "MMM")</f>
        <v>Jul</v>
      </c>
    </row>
    <row r="497" spans="1:11">
      <c r="A497">
        <v>1379</v>
      </c>
      <c r="B497" s="4" t="s">
        <v>201</v>
      </c>
      <c r="C497" t="s">
        <v>24</v>
      </c>
      <c r="D497" t="s">
        <v>13</v>
      </c>
      <c r="E497" s="8">
        <v>3900</v>
      </c>
      <c r="F497" s="8">
        <v>443</v>
      </c>
      <c r="G497" t="s">
        <v>18</v>
      </c>
      <c r="H497" t="s">
        <v>19</v>
      </c>
      <c r="I497">
        <f>F497/E497</f>
        <v>0.11358974358974359</v>
      </c>
      <c r="J497">
        <f>YEAR(Table1[[#This Row],[Order Date]])</f>
        <v>2023</v>
      </c>
      <c r="K497" t="str">
        <f>TEXT(Table1[[#This Row],[Order Date]], "MMM")</f>
        <v>Jul</v>
      </c>
    </row>
    <row r="498" spans="1:11">
      <c r="A498">
        <v>1658</v>
      </c>
      <c r="B498" s="4" t="s">
        <v>201</v>
      </c>
      <c r="C498" t="s">
        <v>17</v>
      </c>
      <c r="D498" t="s">
        <v>22</v>
      </c>
      <c r="E498" s="8">
        <v>4080</v>
      </c>
      <c r="F498" s="8">
        <v>693</v>
      </c>
      <c r="G498" t="s">
        <v>30</v>
      </c>
      <c r="H498" t="s">
        <v>15</v>
      </c>
      <c r="I498">
        <f>F498/E498</f>
        <v>0.1698529411764706</v>
      </c>
      <c r="J498">
        <f>YEAR(Table1[[#This Row],[Order Date]])</f>
        <v>2023</v>
      </c>
      <c r="K498" t="str">
        <f>TEXT(Table1[[#This Row],[Order Date]], "MMM")</f>
        <v>Jul</v>
      </c>
    </row>
    <row r="499" spans="1:11">
      <c r="A499">
        <v>1794</v>
      </c>
      <c r="B499" s="4" t="s">
        <v>201</v>
      </c>
      <c r="C499" t="s">
        <v>28</v>
      </c>
      <c r="D499" t="s">
        <v>22</v>
      </c>
      <c r="E499" s="8">
        <v>4163</v>
      </c>
      <c r="F499" s="8">
        <v>790</v>
      </c>
      <c r="G499" t="s">
        <v>18</v>
      </c>
      <c r="H499" t="s">
        <v>19</v>
      </c>
      <c r="I499">
        <f>F499/E499</f>
        <v>0.1897669949555609</v>
      </c>
      <c r="J499">
        <f>YEAR(Table1[[#This Row],[Order Date]])</f>
        <v>2023</v>
      </c>
      <c r="K499" t="str">
        <f>TEXT(Table1[[#This Row],[Order Date]], "MMM")</f>
        <v>Jul</v>
      </c>
    </row>
    <row r="500" spans="1:11">
      <c r="A500">
        <v>1841</v>
      </c>
      <c r="B500" s="4" t="s">
        <v>201</v>
      </c>
      <c r="C500" t="s">
        <v>27</v>
      </c>
      <c r="D500" t="s">
        <v>22</v>
      </c>
      <c r="E500" s="8">
        <v>2808</v>
      </c>
      <c r="F500" s="8">
        <v>654</v>
      </c>
      <c r="G500" t="s">
        <v>18</v>
      </c>
      <c r="H500" t="s">
        <v>15</v>
      </c>
      <c r="I500">
        <f>F500/E500</f>
        <v>0.23290598290598291</v>
      </c>
      <c r="J500">
        <f>YEAR(Table1[[#This Row],[Order Date]])</f>
        <v>2023</v>
      </c>
      <c r="K500" t="str">
        <f>TEXT(Table1[[#This Row],[Order Date]], "MMM")</f>
        <v>Jul</v>
      </c>
    </row>
    <row r="501" spans="1:11">
      <c r="A501">
        <v>1914</v>
      </c>
      <c r="B501" s="4" t="s">
        <v>201</v>
      </c>
      <c r="C501" t="s">
        <v>24</v>
      </c>
      <c r="D501" t="s">
        <v>13</v>
      </c>
      <c r="E501" s="8">
        <v>186</v>
      </c>
      <c r="F501" s="8">
        <v>455</v>
      </c>
      <c r="G501" t="s">
        <v>30</v>
      </c>
      <c r="H501" t="s">
        <v>19</v>
      </c>
      <c r="I501">
        <f>F501/E501</f>
        <v>2.446236559139785</v>
      </c>
      <c r="J501">
        <f>YEAR(Table1[[#This Row],[Order Date]])</f>
        <v>2023</v>
      </c>
      <c r="K501" t="str">
        <f>TEXT(Table1[[#This Row],[Order Date]], "MMM")</f>
        <v>Jul</v>
      </c>
    </row>
    <row r="502" spans="1:11">
      <c r="A502">
        <v>1999</v>
      </c>
      <c r="B502" s="4" t="s">
        <v>201</v>
      </c>
      <c r="C502" t="s">
        <v>29</v>
      </c>
      <c r="D502" t="s">
        <v>13</v>
      </c>
      <c r="E502" s="8">
        <v>1688</v>
      </c>
      <c r="F502" s="8">
        <v>962</v>
      </c>
      <c r="G502" t="s">
        <v>23</v>
      </c>
      <c r="H502" t="s">
        <v>15</v>
      </c>
      <c r="I502">
        <f>F502/E502</f>
        <v>0.56990521327014221</v>
      </c>
      <c r="J502">
        <f>YEAR(Table1[[#This Row],[Order Date]])</f>
        <v>2023</v>
      </c>
      <c r="K502" t="str">
        <f>TEXT(Table1[[#This Row],[Order Date]], "MMM")</f>
        <v>Jul</v>
      </c>
    </row>
    <row r="503" spans="1:11">
      <c r="A503">
        <v>1668</v>
      </c>
      <c r="B503" s="4" t="s">
        <v>202</v>
      </c>
      <c r="C503" t="s">
        <v>27</v>
      </c>
      <c r="D503" t="s">
        <v>22</v>
      </c>
      <c r="E503" s="8">
        <v>855</v>
      </c>
      <c r="F503" s="8">
        <v>460</v>
      </c>
      <c r="G503" t="s">
        <v>30</v>
      </c>
      <c r="H503" t="s">
        <v>19</v>
      </c>
      <c r="I503">
        <f>F503/E503</f>
        <v>0.53801169590643272</v>
      </c>
      <c r="J503">
        <f>YEAR(Table1[[#This Row],[Order Date]])</f>
        <v>2023</v>
      </c>
      <c r="K503" t="str">
        <f>TEXT(Table1[[#This Row],[Order Date]], "MMM")</f>
        <v>Jul</v>
      </c>
    </row>
    <row r="504" spans="1:11">
      <c r="A504">
        <v>1178</v>
      </c>
      <c r="B504" s="4" t="s">
        <v>203</v>
      </c>
      <c r="C504" t="s">
        <v>24</v>
      </c>
      <c r="D504" t="s">
        <v>13</v>
      </c>
      <c r="E504" s="8">
        <v>670</v>
      </c>
      <c r="F504" s="8">
        <v>643</v>
      </c>
      <c r="G504" t="s">
        <v>23</v>
      </c>
      <c r="H504" t="s">
        <v>15</v>
      </c>
      <c r="I504">
        <f>F504/E504</f>
        <v>0.95970149253731341</v>
      </c>
      <c r="J504">
        <f>YEAR(Table1[[#This Row],[Order Date]])</f>
        <v>2023</v>
      </c>
      <c r="K504" t="str">
        <f>TEXT(Table1[[#This Row],[Order Date]], "MMM")</f>
        <v>Jul</v>
      </c>
    </row>
    <row r="505" spans="1:11">
      <c r="A505">
        <v>1824</v>
      </c>
      <c r="B505" s="4" t="s">
        <v>203</v>
      </c>
      <c r="C505" t="s">
        <v>29</v>
      </c>
      <c r="D505" t="s">
        <v>22</v>
      </c>
      <c r="E505" s="8">
        <v>2567</v>
      </c>
      <c r="F505" s="8">
        <v>112</v>
      </c>
      <c r="G505" t="s">
        <v>30</v>
      </c>
      <c r="H505" t="s">
        <v>19</v>
      </c>
      <c r="I505">
        <f>F505/E505</f>
        <v>4.3630697312037399E-2</v>
      </c>
      <c r="J505">
        <f>YEAR(Table1[[#This Row],[Order Date]])</f>
        <v>2023</v>
      </c>
      <c r="K505" t="str">
        <f>TEXT(Table1[[#This Row],[Order Date]], "MMM")</f>
        <v>Jul</v>
      </c>
    </row>
    <row r="506" spans="1:11">
      <c r="A506">
        <v>1049</v>
      </c>
      <c r="B506" s="4" t="s">
        <v>204</v>
      </c>
      <c r="C506" t="s">
        <v>27</v>
      </c>
      <c r="D506" t="s">
        <v>25</v>
      </c>
      <c r="E506" s="8">
        <v>1553</v>
      </c>
      <c r="F506" s="8">
        <v>922</v>
      </c>
      <c r="G506" t="s">
        <v>14</v>
      </c>
      <c r="H506" t="s">
        <v>15</v>
      </c>
      <c r="I506">
        <f>F506/E506</f>
        <v>0.59368963296844812</v>
      </c>
      <c r="J506">
        <f>YEAR(Table1[[#This Row],[Order Date]])</f>
        <v>2023</v>
      </c>
      <c r="K506" t="str">
        <f>TEXT(Table1[[#This Row],[Order Date]], "MMM")</f>
        <v>Jul</v>
      </c>
    </row>
    <row r="507" spans="1:11">
      <c r="A507">
        <v>1051</v>
      </c>
      <c r="B507" s="4" t="s">
        <v>205</v>
      </c>
      <c r="C507" t="s">
        <v>27</v>
      </c>
      <c r="D507" t="s">
        <v>13</v>
      </c>
      <c r="E507" s="8">
        <v>4672</v>
      </c>
      <c r="F507" s="8">
        <v>239</v>
      </c>
      <c r="G507" t="s">
        <v>30</v>
      </c>
      <c r="H507" t="s">
        <v>19</v>
      </c>
      <c r="I507">
        <f>F507/E507</f>
        <v>5.1155821917808222E-2</v>
      </c>
      <c r="J507">
        <f>YEAR(Table1[[#This Row],[Order Date]])</f>
        <v>2023</v>
      </c>
      <c r="K507" t="str">
        <f>TEXT(Table1[[#This Row],[Order Date]], "MMM")</f>
        <v>Jul</v>
      </c>
    </row>
    <row r="508" spans="1:11">
      <c r="A508">
        <v>1081</v>
      </c>
      <c r="B508" s="4" t="s">
        <v>205</v>
      </c>
      <c r="C508" t="s">
        <v>24</v>
      </c>
      <c r="D508" t="s">
        <v>25</v>
      </c>
      <c r="E508" s="8">
        <v>2482</v>
      </c>
      <c r="F508" s="8">
        <v>593</v>
      </c>
      <c r="G508" t="s">
        <v>14</v>
      </c>
      <c r="H508" t="s">
        <v>15</v>
      </c>
      <c r="I508">
        <f>F508/E508</f>
        <v>0.23892022562449639</v>
      </c>
      <c r="J508">
        <f>YEAR(Table1[[#This Row],[Order Date]])</f>
        <v>2023</v>
      </c>
      <c r="K508" t="str">
        <f>TEXT(Table1[[#This Row],[Order Date]], "MMM")</f>
        <v>Jul</v>
      </c>
    </row>
    <row r="509" spans="1:11">
      <c r="A509">
        <v>1354</v>
      </c>
      <c r="B509" s="4" t="s">
        <v>205</v>
      </c>
      <c r="C509" t="s">
        <v>27</v>
      </c>
      <c r="D509" t="s">
        <v>13</v>
      </c>
      <c r="E509" s="8">
        <v>3489</v>
      </c>
      <c r="F509" s="8">
        <v>921</v>
      </c>
      <c r="G509" t="s">
        <v>14</v>
      </c>
      <c r="H509" t="s">
        <v>19</v>
      </c>
      <c r="I509">
        <f>F509/E509</f>
        <v>0.26397248495270853</v>
      </c>
      <c r="J509">
        <f>YEAR(Table1[[#This Row],[Order Date]])</f>
        <v>2023</v>
      </c>
      <c r="K509" t="str">
        <f>TEXT(Table1[[#This Row],[Order Date]], "MMM")</f>
        <v>Jul</v>
      </c>
    </row>
    <row r="510" spans="1:11">
      <c r="A510">
        <v>1799</v>
      </c>
      <c r="B510" s="4" t="s">
        <v>205</v>
      </c>
      <c r="C510" t="s">
        <v>24</v>
      </c>
      <c r="D510" t="s">
        <v>25</v>
      </c>
      <c r="E510" s="8">
        <v>189</v>
      </c>
      <c r="F510" s="8">
        <v>787</v>
      </c>
      <c r="G510" t="s">
        <v>14</v>
      </c>
      <c r="H510" t="s">
        <v>15</v>
      </c>
      <c r="I510">
        <f>F510/E510</f>
        <v>4.1640211640211637</v>
      </c>
      <c r="J510">
        <f>YEAR(Table1[[#This Row],[Order Date]])</f>
        <v>2023</v>
      </c>
      <c r="K510" t="str">
        <f>TEXT(Table1[[#This Row],[Order Date]], "MMM")</f>
        <v>Jul</v>
      </c>
    </row>
    <row r="511" spans="1:11">
      <c r="A511">
        <v>1839</v>
      </c>
      <c r="B511" s="4" t="s">
        <v>205</v>
      </c>
      <c r="C511" t="s">
        <v>12</v>
      </c>
      <c r="D511" t="s">
        <v>22</v>
      </c>
      <c r="E511" s="8">
        <v>684</v>
      </c>
      <c r="F511" s="8">
        <v>966</v>
      </c>
      <c r="G511" t="s">
        <v>14</v>
      </c>
      <c r="H511" t="s">
        <v>15</v>
      </c>
      <c r="I511">
        <f>F511/E511</f>
        <v>1.4122807017543859</v>
      </c>
      <c r="J511">
        <f>YEAR(Table1[[#This Row],[Order Date]])</f>
        <v>2023</v>
      </c>
      <c r="K511" t="str">
        <f>TEXT(Table1[[#This Row],[Order Date]], "MMM")</f>
        <v>Jul</v>
      </c>
    </row>
    <row r="512" spans="1:11">
      <c r="A512">
        <v>1868</v>
      </c>
      <c r="B512" s="4" t="s">
        <v>205</v>
      </c>
      <c r="C512" t="s">
        <v>24</v>
      </c>
      <c r="D512" t="s">
        <v>22</v>
      </c>
      <c r="E512" s="8">
        <v>3298</v>
      </c>
      <c r="F512" s="8">
        <v>433</v>
      </c>
      <c r="G512" t="s">
        <v>23</v>
      </c>
      <c r="H512" t="s">
        <v>19</v>
      </c>
      <c r="I512">
        <f>F512/E512</f>
        <v>0.13129169193450577</v>
      </c>
      <c r="J512">
        <f>YEAR(Table1[[#This Row],[Order Date]])</f>
        <v>2023</v>
      </c>
      <c r="K512" t="str">
        <f>TEXT(Table1[[#This Row],[Order Date]], "MMM")</f>
        <v>Jul</v>
      </c>
    </row>
    <row r="513" spans="1:11">
      <c r="A513">
        <v>1380</v>
      </c>
      <c r="B513" s="4" t="s">
        <v>206</v>
      </c>
      <c r="C513" t="s">
        <v>28</v>
      </c>
      <c r="D513" t="s">
        <v>22</v>
      </c>
      <c r="E513" s="8">
        <v>1412</v>
      </c>
      <c r="F513" s="8">
        <v>558</v>
      </c>
      <c r="G513" t="s">
        <v>23</v>
      </c>
      <c r="H513" t="s">
        <v>15</v>
      </c>
      <c r="I513">
        <f>F513/E513</f>
        <v>0.39518413597733709</v>
      </c>
      <c r="J513">
        <f>YEAR(Table1[[#This Row],[Order Date]])</f>
        <v>2023</v>
      </c>
      <c r="K513" t="str">
        <f>TEXT(Table1[[#This Row],[Order Date]], "MMM")</f>
        <v>Jul</v>
      </c>
    </row>
    <row r="514" spans="1:11">
      <c r="A514">
        <v>1660</v>
      </c>
      <c r="B514" s="4" t="s">
        <v>206</v>
      </c>
      <c r="C514" t="s">
        <v>29</v>
      </c>
      <c r="D514" t="s">
        <v>25</v>
      </c>
      <c r="E514" s="8">
        <v>3928</v>
      </c>
      <c r="F514" s="8">
        <v>55</v>
      </c>
      <c r="G514" t="s">
        <v>30</v>
      </c>
      <c r="H514" t="s">
        <v>15</v>
      </c>
      <c r="I514">
        <f>F514/E514</f>
        <v>1.4002036659877801E-2</v>
      </c>
      <c r="J514">
        <f>YEAR(Table1[[#This Row],[Order Date]])</f>
        <v>2023</v>
      </c>
      <c r="K514" t="str">
        <f>TEXT(Table1[[#This Row],[Order Date]], "MMM")</f>
        <v>Jul</v>
      </c>
    </row>
    <row r="515" spans="1:11">
      <c r="A515">
        <v>1124</v>
      </c>
      <c r="B515" s="4" t="s">
        <v>207</v>
      </c>
      <c r="C515" t="s">
        <v>17</v>
      </c>
      <c r="D515" t="s">
        <v>25</v>
      </c>
      <c r="E515" s="8">
        <v>1917</v>
      </c>
      <c r="F515" s="8">
        <v>387</v>
      </c>
      <c r="G515" t="s">
        <v>23</v>
      </c>
      <c r="H515" t="s">
        <v>15</v>
      </c>
      <c r="I515">
        <f>F515/E515</f>
        <v>0.20187793427230047</v>
      </c>
      <c r="J515">
        <f>YEAR(Table1[[#This Row],[Order Date]])</f>
        <v>2023</v>
      </c>
      <c r="K515" t="str">
        <f>TEXT(Table1[[#This Row],[Order Date]], "MMM")</f>
        <v>Jul</v>
      </c>
    </row>
    <row r="516" spans="1:11">
      <c r="A516">
        <v>1147</v>
      </c>
      <c r="B516" s="4" t="s">
        <v>207</v>
      </c>
      <c r="C516" t="s">
        <v>24</v>
      </c>
      <c r="D516" t="s">
        <v>22</v>
      </c>
      <c r="E516" s="8">
        <v>1854</v>
      </c>
      <c r="F516" s="8">
        <v>117</v>
      </c>
      <c r="G516" t="s">
        <v>14</v>
      </c>
      <c r="H516" t="s">
        <v>19</v>
      </c>
      <c r="I516">
        <f>F516/E516</f>
        <v>6.3106796116504854E-2</v>
      </c>
      <c r="J516">
        <f>YEAR(Table1[[#This Row],[Order Date]])</f>
        <v>2023</v>
      </c>
      <c r="K516" t="str">
        <f>TEXT(Table1[[#This Row],[Order Date]], "MMM")</f>
        <v>Jul</v>
      </c>
    </row>
    <row r="517" spans="1:11">
      <c r="A517">
        <v>1648</v>
      </c>
      <c r="B517" s="4" t="s">
        <v>207</v>
      </c>
      <c r="C517" t="s">
        <v>28</v>
      </c>
      <c r="D517" t="s">
        <v>22</v>
      </c>
      <c r="E517" s="8">
        <v>4855</v>
      </c>
      <c r="F517" s="8">
        <v>187</v>
      </c>
      <c r="G517" t="s">
        <v>23</v>
      </c>
      <c r="H517" t="s">
        <v>19</v>
      </c>
      <c r="I517">
        <f>F517/E517</f>
        <v>3.8516992790937177E-2</v>
      </c>
      <c r="J517">
        <f>YEAR(Table1[[#This Row],[Order Date]])</f>
        <v>2023</v>
      </c>
      <c r="K517" t="str">
        <f>TEXT(Table1[[#This Row],[Order Date]], "MMM")</f>
        <v>Jul</v>
      </c>
    </row>
    <row r="518" spans="1:11">
      <c r="A518">
        <v>1913</v>
      </c>
      <c r="B518" s="4" t="s">
        <v>207</v>
      </c>
      <c r="C518" t="s">
        <v>28</v>
      </c>
      <c r="D518" t="s">
        <v>22</v>
      </c>
      <c r="E518" s="8">
        <v>1996</v>
      </c>
      <c r="F518" s="8">
        <v>440</v>
      </c>
      <c r="G518" t="s">
        <v>23</v>
      </c>
      <c r="H518" t="s">
        <v>15</v>
      </c>
      <c r="I518">
        <f>F518/E518</f>
        <v>0.22044088176352705</v>
      </c>
      <c r="J518">
        <f>YEAR(Table1[[#This Row],[Order Date]])</f>
        <v>2023</v>
      </c>
      <c r="K518" t="str">
        <f>TEXT(Table1[[#This Row],[Order Date]], "MMM")</f>
        <v>Jul</v>
      </c>
    </row>
    <row r="519" spans="1:11">
      <c r="A519">
        <v>1025</v>
      </c>
      <c r="B519" s="4" t="s">
        <v>208</v>
      </c>
      <c r="C519" t="s">
        <v>28</v>
      </c>
      <c r="D519" t="s">
        <v>13</v>
      </c>
      <c r="E519" s="8">
        <v>2103</v>
      </c>
      <c r="F519" s="8">
        <v>117</v>
      </c>
      <c r="G519" t="s">
        <v>30</v>
      </c>
      <c r="H519" t="s">
        <v>15</v>
      </c>
      <c r="I519">
        <f>F519/E519</f>
        <v>5.5634807417974323E-2</v>
      </c>
      <c r="J519">
        <f>YEAR(Table1[[#This Row],[Order Date]])</f>
        <v>2023</v>
      </c>
      <c r="K519" t="str">
        <f>TEXT(Table1[[#This Row],[Order Date]], "MMM")</f>
        <v>Jul</v>
      </c>
    </row>
    <row r="520" spans="1:11">
      <c r="A520">
        <v>1516</v>
      </c>
      <c r="B520" s="4" t="s">
        <v>208</v>
      </c>
      <c r="C520" t="s">
        <v>29</v>
      </c>
      <c r="D520" t="s">
        <v>13</v>
      </c>
      <c r="E520" s="8">
        <v>4817</v>
      </c>
      <c r="F520" s="8">
        <v>317</v>
      </c>
      <c r="G520" t="s">
        <v>30</v>
      </c>
      <c r="H520" t="s">
        <v>19</v>
      </c>
      <c r="I520">
        <f>F520/E520</f>
        <v>6.5808594560930037E-2</v>
      </c>
      <c r="J520">
        <f>YEAR(Table1[[#This Row],[Order Date]])</f>
        <v>2023</v>
      </c>
      <c r="K520" t="str">
        <f>TEXT(Table1[[#This Row],[Order Date]], "MMM")</f>
        <v>Jul</v>
      </c>
    </row>
    <row r="521" spans="1:11">
      <c r="A521">
        <v>1014</v>
      </c>
      <c r="B521" s="4" t="s">
        <v>209</v>
      </c>
      <c r="C521" t="s">
        <v>12</v>
      </c>
      <c r="D521" t="s">
        <v>25</v>
      </c>
      <c r="E521" s="8">
        <v>966</v>
      </c>
      <c r="F521" s="8">
        <v>711</v>
      </c>
      <c r="G521" t="s">
        <v>30</v>
      </c>
      <c r="H521" t="s">
        <v>19</v>
      </c>
      <c r="I521">
        <f>F521/E521</f>
        <v>0.7360248447204969</v>
      </c>
      <c r="J521">
        <f>YEAR(Table1[[#This Row],[Order Date]])</f>
        <v>2023</v>
      </c>
      <c r="K521" t="str">
        <f>TEXT(Table1[[#This Row],[Order Date]], "MMM")</f>
        <v>Jul</v>
      </c>
    </row>
    <row r="522" spans="1:11">
      <c r="A522">
        <v>1245</v>
      </c>
      <c r="B522" s="4" t="s">
        <v>209</v>
      </c>
      <c r="C522" t="s">
        <v>28</v>
      </c>
      <c r="D522" t="s">
        <v>22</v>
      </c>
      <c r="E522" s="8">
        <v>3088</v>
      </c>
      <c r="F522" s="8">
        <v>242</v>
      </c>
      <c r="G522" t="s">
        <v>30</v>
      </c>
      <c r="H522" t="s">
        <v>19</v>
      </c>
      <c r="I522">
        <f>F522/E522</f>
        <v>7.8367875647668395E-2</v>
      </c>
      <c r="J522">
        <f>YEAR(Table1[[#This Row],[Order Date]])</f>
        <v>2023</v>
      </c>
      <c r="K522" t="str">
        <f>TEXT(Table1[[#This Row],[Order Date]], "MMM")</f>
        <v>Jul</v>
      </c>
    </row>
    <row r="523" spans="1:11">
      <c r="A523">
        <v>1334</v>
      </c>
      <c r="B523" s="4" t="s">
        <v>209</v>
      </c>
      <c r="C523" t="s">
        <v>21</v>
      </c>
      <c r="D523" t="s">
        <v>25</v>
      </c>
      <c r="E523" s="8">
        <v>1391</v>
      </c>
      <c r="F523" s="8">
        <v>881</v>
      </c>
      <c r="G523" t="s">
        <v>30</v>
      </c>
      <c r="H523" t="s">
        <v>15</v>
      </c>
      <c r="I523">
        <f>F523/E523</f>
        <v>0.6333572969086988</v>
      </c>
      <c r="J523">
        <f>YEAR(Table1[[#This Row],[Order Date]])</f>
        <v>2023</v>
      </c>
      <c r="K523" t="str">
        <f>TEXT(Table1[[#This Row],[Order Date]], "MMM")</f>
        <v>Jul</v>
      </c>
    </row>
    <row r="524" spans="1:11">
      <c r="A524">
        <v>1537</v>
      </c>
      <c r="B524" s="4" t="s">
        <v>209</v>
      </c>
      <c r="C524" t="s">
        <v>12</v>
      </c>
      <c r="D524" t="s">
        <v>22</v>
      </c>
      <c r="E524" s="8">
        <v>2834</v>
      </c>
      <c r="F524" s="8">
        <v>650</v>
      </c>
      <c r="G524" t="s">
        <v>14</v>
      </c>
      <c r="H524" t="s">
        <v>15</v>
      </c>
      <c r="I524">
        <f>F524/E524</f>
        <v>0.22935779816513763</v>
      </c>
      <c r="J524">
        <f>YEAR(Table1[[#This Row],[Order Date]])</f>
        <v>2023</v>
      </c>
      <c r="K524" t="str">
        <f>TEXT(Table1[[#This Row],[Order Date]], "MMM")</f>
        <v>Jul</v>
      </c>
    </row>
    <row r="525" spans="1:11">
      <c r="A525">
        <v>1820</v>
      </c>
      <c r="B525" s="4" t="s">
        <v>209</v>
      </c>
      <c r="C525" t="s">
        <v>28</v>
      </c>
      <c r="D525" t="s">
        <v>22</v>
      </c>
      <c r="E525" s="8">
        <v>631</v>
      </c>
      <c r="F525" s="8">
        <v>642</v>
      </c>
      <c r="G525" t="s">
        <v>30</v>
      </c>
      <c r="H525" t="s">
        <v>15</v>
      </c>
      <c r="I525">
        <f>F525/E525</f>
        <v>1.0174326465927099</v>
      </c>
      <c r="J525">
        <f>YEAR(Table1[[#This Row],[Order Date]])</f>
        <v>2023</v>
      </c>
      <c r="K525" t="str">
        <f>TEXT(Table1[[#This Row],[Order Date]], "MMM")</f>
        <v>Jul</v>
      </c>
    </row>
    <row r="526" spans="1:11">
      <c r="A526">
        <v>1938</v>
      </c>
      <c r="B526" s="4" t="s">
        <v>209</v>
      </c>
      <c r="C526" t="s">
        <v>28</v>
      </c>
      <c r="D526" t="s">
        <v>25</v>
      </c>
      <c r="E526" s="8">
        <v>4874</v>
      </c>
      <c r="F526" s="8">
        <v>679</v>
      </c>
      <c r="G526" t="s">
        <v>14</v>
      </c>
      <c r="H526" t="s">
        <v>19</v>
      </c>
      <c r="I526">
        <f>F526/E526</f>
        <v>0.13931062782109149</v>
      </c>
      <c r="J526">
        <f>YEAR(Table1[[#This Row],[Order Date]])</f>
        <v>2023</v>
      </c>
      <c r="K526" t="str">
        <f>TEXT(Table1[[#This Row],[Order Date]], "MMM")</f>
        <v>Jul</v>
      </c>
    </row>
    <row r="527" spans="1:11">
      <c r="A527">
        <v>1164</v>
      </c>
      <c r="B527" s="4" t="s">
        <v>210</v>
      </c>
      <c r="C527" t="s">
        <v>17</v>
      </c>
      <c r="D527" t="s">
        <v>13</v>
      </c>
      <c r="E527" s="8">
        <v>3785</v>
      </c>
      <c r="F527" s="8">
        <v>509</v>
      </c>
      <c r="G527" t="s">
        <v>18</v>
      </c>
      <c r="H527" t="s">
        <v>15</v>
      </c>
      <c r="I527">
        <f>F527/E527</f>
        <v>0.13447820343461031</v>
      </c>
      <c r="J527">
        <f>YEAR(Table1[[#This Row],[Order Date]])</f>
        <v>2023</v>
      </c>
      <c r="K527" t="str">
        <f>TEXT(Table1[[#This Row],[Order Date]], "MMM")</f>
        <v>Jul</v>
      </c>
    </row>
    <row r="528" spans="1:11">
      <c r="A528">
        <v>1195</v>
      </c>
      <c r="B528" s="4" t="s">
        <v>210</v>
      </c>
      <c r="C528" t="s">
        <v>12</v>
      </c>
      <c r="D528" t="s">
        <v>13</v>
      </c>
      <c r="E528" s="8">
        <v>4921</v>
      </c>
      <c r="F528" s="8">
        <v>900</v>
      </c>
      <c r="G528" t="s">
        <v>30</v>
      </c>
      <c r="H528" t="s">
        <v>15</v>
      </c>
      <c r="I528">
        <f>F528/E528</f>
        <v>0.1828896565738671</v>
      </c>
      <c r="J528">
        <f>YEAR(Table1[[#This Row],[Order Date]])</f>
        <v>2023</v>
      </c>
      <c r="K528" t="str">
        <f>TEXT(Table1[[#This Row],[Order Date]], "MMM")</f>
        <v>Jul</v>
      </c>
    </row>
    <row r="529" spans="1:11">
      <c r="A529">
        <v>1610</v>
      </c>
      <c r="B529" s="4" t="s">
        <v>210</v>
      </c>
      <c r="C529" t="s">
        <v>21</v>
      </c>
      <c r="D529" t="s">
        <v>25</v>
      </c>
      <c r="E529" s="8">
        <v>3881</v>
      </c>
      <c r="F529" s="8">
        <v>70</v>
      </c>
      <c r="G529" t="s">
        <v>14</v>
      </c>
      <c r="H529" t="s">
        <v>15</v>
      </c>
      <c r="I529">
        <f>F529/E529</f>
        <v>1.8036588508116465E-2</v>
      </c>
      <c r="J529">
        <f>YEAR(Table1[[#This Row],[Order Date]])</f>
        <v>2023</v>
      </c>
      <c r="K529" t="str">
        <f>TEXT(Table1[[#This Row],[Order Date]], "MMM")</f>
        <v>Jul</v>
      </c>
    </row>
    <row r="530" spans="1:11">
      <c r="A530">
        <v>1927</v>
      </c>
      <c r="B530" s="4" t="s">
        <v>210</v>
      </c>
      <c r="C530" t="s">
        <v>29</v>
      </c>
      <c r="D530" t="s">
        <v>13</v>
      </c>
      <c r="E530" s="8">
        <v>2655</v>
      </c>
      <c r="F530" s="8">
        <v>818</v>
      </c>
      <c r="G530" t="s">
        <v>14</v>
      </c>
      <c r="H530" t="s">
        <v>19</v>
      </c>
      <c r="I530">
        <f>F530/E530</f>
        <v>0.30809792843691147</v>
      </c>
      <c r="J530">
        <f>YEAR(Table1[[#This Row],[Order Date]])</f>
        <v>2023</v>
      </c>
      <c r="K530" t="str">
        <f>TEXT(Table1[[#This Row],[Order Date]], "MMM")</f>
        <v>Jul</v>
      </c>
    </row>
    <row r="531" spans="1:11">
      <c r="A531">
        <v>1137</v>
      </c>
      <c r="B531" s="4" t="s">
        <v>211</v>
      </c>
      <c r="C531" t="s">
        <v>12</v>
      </c>
      <c r="D531" t="s">
        <v>25</v>
      </c>
      <c r="E531" s="8">
        <v>1604</v>
      </c>
      <c r="F531" s="8">
        <v>236</v>
      </c>
      <c r="G531" t="s">
        <v>23</v>
      </c>
      <c r="H531" t="s">
        <v>15</v>
      </c>
      <c r="I531">
        <f>F531/E531</f>
        <v>0.14713216957605985</v>
      </c>
      <c r="J531">
        <f>YEAR(Table1[[#This Row],[Order Date]])</f>
        <v>2023</v>
      </c>
      <c r="K531" t="str">
        <f>TEXT(Table1[[#This Row],[Order Date]], "MMM")</f>
        <v>Jul</v>
      </c>
    </row>
    <row r="532" spans="1:11">
      <c r="A532">
        <v>1219</v>
      </c>
      <c r="B532" s="4" t="s">
        <v>211</v>
      </c>
      <c r="C532" t="s">
        <v>29</v>
      </c>
      <c r="D532" t="s">
        <v>13</v>
      </c>
      <c r="E532" s="8">
        <v>4774</v>
      </c>
      <c r="F532" s="8">
        <v>36</v>
      </c>
      <c r="G532" t="s">
        <v>30</v>
      </c>
      <c r="H532" t="s">
        <v>19</v>
      </c>
      <c r="I532">
        <f>F532/E532</f>
        <v>7.5408462505236699E-3</v>
      </c>
      <c r="J532">
        <f>YEAR(Table1[[#This Row],[Order Date]])</f>
        <v>2023</v>
      </c>
      <c r="K532" t="str">
        <f>TEXT(Table1[[#This Row],[Order Date]], "MMM")</f>
        <v>Jul</v>
      </c>
    </row>
    <row r="533" spans="1:11">
      <c r="A533">
        <v>1225</v>
      </c>
      <c r="B533" s="4" t="s">
        <v>211</v>
      </c>
      <c r="C533" t="s">
        <v>29</v>
      </c>
      <c r="D533" t="s">
        <v>22</v>
      </c>
      <c r="E533" s="8">
        <v>1960</v>
      </c>
      <c r="F533" s="8">
        <v>732</v>
      </c>
      <c r="G533" t="s">
        <v>14</v>
      </c>
      <c r="H533" t="s">
        <v>15</v>
      </c>
      <c r="I533">
        <f>F533/E533</f>
        <v>0.37346938775510202</v>
      </c>
      <c r="J533">
        <f>YEAR(Table1[[#This Row],[Order Date]])</f>
        <v>2023</v>
      </c>
      <c r="K533" t="str">
        <f>TEXT(Table1[[#This Row],[Order Date]], "MMM")</f>
        <v>Jul</v>
      </c>
    </row>
    <row r="534" spans="1:11">
      <c r="A534">
        <v>1759</v>
      </c>
      <c r="B534" s="4" t="s">
        <v>211</v>
      </c>
      <c r="C534" t="s">
        <v>21</v>
      </c>
      <c r="D534" t="s">
        <v>22</v>
      </c>
      <c r="E534" s="8">
        <v>1448</v>
      </c>
      <c r="F534" s="8">
        <v>1000</v>
      </c>
      <c r="G534" t="s">
        <v>30</v>
      </c>
      <c r="H534" t="s">
        <v>19</v>
      </c>
      <c r="I534">
        <f>F534/E534</f>
        <v>0.69060773480662985</v>
      </c>
      <c r="J534">
        <f>YEAR(Table1[[#This Row],[Order Date]])</f>
        <v>2023</v>
      </c>
      <c r="K534" t="str">
        <f>TEXT(Table1[[#This Row],[Order Date]], "MMM")</f>
        <v>Jul</v>
      </c>
    </row>
    <row r="535" spans="1:11">
      <c r="A535">
        <v>1666</v>
      </c>
      <c r="B535" s="4" t="s">
        <v>212</v>
      </c>
      <c r="C535" t="s">
        <v>29</v>
      </c>
      <c r="D535" t="s">
        <v>22</v>
      </c>
      <c r="E535" s="8">
        <v>1391</v>
      </c>
      <c r="F535" s="8">
        <v>531</v>
      </c>
      <c r="G535" t="s">
        <v>30</v>
      </c>
      <c r="H535" t="s">
        <v>15</v>
      </c>
      <c r="I535">
        <f>F535/E535</f>
        <v>0.38173975557153128</v>
      </c>
      <c r="J535">
        <f>YEAR(Table1[[#This Row],[Order Date]])</f>
        <v>2023</v>
      </c>
      <c r="K535" t="str">
        <f>TEXT(Table1[[#This Row],[Order Date]], "MMM")</f>
        <v>Jul</v>
      </c>
    </row>
    <row r="536" spans="1:11">
      <c r="A536">
        <v>1584</v>
      </c>
      <c r="B536" s="4" t="s">
        <v>213</v>
      </c>
      <c r="C536" t="s">
        <v>24</v>
      </c>
      <c r="D536" t="s">
        <v>13</v>
      </c>
      <c r="E536" s="8">
        <v>4565</v>
      </c>
      <c r="F536" s="8">
        <v>266</v>
      </c>
      <c r="G536" t="s">
        <v>18</v>
      </c>
      <c r="H536" t="s">
        <v>15</v>
      </c>
      <c r="I536">
        <f>F536/E536</f>
        <v>5.8269441401971524E-2</v>
      </c>
      <c r="J536">
        <f>YEAR(Table1[[#This Row],[Order Date]])</f>
        <v>2023</v>
      </c>
      <c r="K536" t="str">
        <f>TEXT(Table1[[#This Row],[Order Date]], "MMM")</f>
        <v>Jul</v>
      </c>
    </row>
    <row r="537" spans="1:11">
      <c r="A537">
        <v>1954</v>
      </c>
      <c r="B537" s="4" t="s">
        <v>213</v>
      </c>
      <c r="C537" t="s">
        <v>17</v>
      </c>
      <c r="D537" t="s">
        <v>25</v>
      </c>
      <c r="E537" s="8">
        <v>1739</v>
      </c>
      <c r="F537" s="8">
        <v>510</v>
      </c>
      <c r="G537" t="s">
        <v>18</v>
      </c>
      <c r="H537" t="s">
        <v>19</v>
      </c>
      <c r="I537">
        <f>F537/E537</f>
        <v>0.29327199539965498</v>
      </c>
      <c r="J537">
        <f>YEAR(Table1[[#This Row],[Order Date]])</f>
        <v>2023</v>
      </c>
      <c r="K537" t="str">
        <f>TEXT(Table1[[#This Row],[Order Date]], "MMM")</f>
        <v>Jul</v>
      </c>
    </row>
    <row r="538" spans="1:11">
      <c r="A538">
        <v>1134</v>
      </c>
      <c r="B538" s="4" t="s">
        <v>214</v>
      </c>
      <c r="C538" t="s">
        <v>12</v>
      </c>
      <c r="D538" t="s">
        <v>22</v>
      </c>
      <c r="E538" s="8">
        <v>4420</v>
      </c>
      <c r="F538" s="8">
        <v>461</v>
      </c>
      <c r="G538" t="s">
        <v>30</v>
      </c>
      <c r="H538" t="s">
        <v>15</v>
      </c>
      <c r="I538">
        <f>F538/E538</f>
        <v>0.10429864253393666</v>
      </c>
      <c r="J538">
        <f>YEAR(Table1[[#This Row],[Order Date]])</f>
        <v>2023</v>
      </c>
      <c r="K538" t="str">
        <f>TEXT(Table1[[#This Row],[Order Date]], "MMM")</f>
        <v>Jul</v>
      </c>
    </row>
    <row r="539" spans="1:11">
      <c r="A539">
        <v>1785</v>
      </c>
      <c r="B539" s="4" t="s">
        <v>214</v>
      </c>
      <c r="C539" t="s">
        <v>21</v>
      </c>
      <c r="D539" t="s">
        <v>13</v>
      </c>
      <c r="E539" s="8">
        <v>1592</v>
      </c>
      <c r="F539" s="8">
        <v>321</v>
      </c>
      <c r="G539" t="s">
        <v>14</v>
      </c>
      <c r="H539" t="s">
        <v>15</v>
      </c>
      <c r="I539">
        <f>F539/E539</f>
        <v>0.20163316582914573</v>
      </c>
      <c r="J539">
        <f>YEAR(Table1[[#This Row],[Order Date]])</f>
        <v>2023</v>
      </c>
      <c r="K539" t="str">
        <f>TEXT(Table1[[#This Row],[Order Date]], "MMM")</f>
        <v>Jul</v>
      </c>
    </row>
    <row r="540" spans="1:11">
      <c r="A540">
        <v>1479</v>
      </c>
      <c r="B540" s="4" t="s">
        <v>215</v>
      </c>
      <c r="C540" t="s">
        <v>12</v>
      </c>
      <c r="D540" t="s">
        <v>22</v>
      </c>
      <c r="E540" s="8">
        <v>1575</v>
      </c>
      <c r="F540" s="8">
        <v>910</v>
      </c>
      <c r="G540" t="s">
        <v>14</v>
      </c>
      <c r="H540" t="s">
        <v>15</v>
      </c>
      <c r="I540">
        <f>F540/E540</f>
        <v>0.57777777777777772</v>
      </c>
      <c r="J540">
        <f>YEAR(Table1[[#This Row],[Order Date]])</f>
        <v>2023</v>
      </c>
      <c r="K540" t="str">
        <f>TEXT(Table1[[#This Row],[Order Date]], "MMM")</f>
        <v>Jul</v>
      </c>
    </row>
    <row r="541" spans="1:11">
      <c r="A541">
        <v>1743</v>
      </c>
      <c r="B541" s="4" t="s">
        <v>215</v>
      </c>
      <c r="C541" t="s">
        <v>12</v>
      </c>
      <c r="D541" t="s">
        <v>13</v>
      </c>
      <c r="E541" s="8">
        <v>3436</v>
      </c>
      <c r="F541" s="8">
        <v>228</v>
      </c>
      <c r="G541" t="s">
        <v>23</v>
      </c>
      <c r="H541" t="s">
        <v>19</v>
      </c>
      <c r="I541">
        <f>F541/E541</f>
        <v>6.6356228172293363E-2</v>
      </c>
      <c r="J541">
        <f>YEAR(Table1[[#This Row],[Order Date]])</f>
        <v>2023</v>
      </c>
      <c r="K541" t="str">
        <f>TEXT(Table1[[#This Row],[Order Date]], "MMM")</f>
        <v>Jul</v>
      </c>
    </row>
    <row r="542" spans="1:11">
      <c r="A542">
        <v>1901</v>
      </c>
      <c r="B542" s="4" t="s">
        <v>215</v>
      </c>
      <c r="C542" t="s">
        <v>27</v>
      </c>
      <c r="D542" t="s">
        <v>13</v>
      </c>
      <c r="E542" s="8">
        <v>1469</v>
      </c>
      <c r="F542" s="8">
        <v>72</v>
      </c>
      <c r="G542" t="s">
        <v>23</v>
      </c>
      <c r="H542" t="s">
        <v>19</v>
      </c>
      <c r="I542">
        <f>F542/E542</f>
        <v>4.9012933968686181E-2</v>
      </c>
      <c r="J542">
        <f>YEAR(Table1[[#This Row],[Order Date]])</f>
        <v>2023</v>
      </c>
      <c r="K542" t="str">
        <f>TEXT(Table1[[#This Row],[Order Date]], "MMM")</f>
        <v>Jul</v>
      </c>
    </row>
    <row r="543" spans="1:11">
      <c r="A543">
        <v>1110</v>
      </c>
      <c r="B543" s="4" t="s">
        <v>216</v>
      </c>
      <c r="C543" t="s">
        <v>24</v>
      </c>
      <c r="D543" t="s">
        <v>13</v>
      </c>
      <c r="E543" s="8">
        <v>2869</v>
      </c>
      <c r="F543" s="8">
        <v>620</v>
      </c>
      <c r="G543" t="s">
        <v>30</v>
      </c>
      <c r="H543" t="s">
        <v>19</v>
      </c>
      <c r="I543">
        <f>F543/E543</f>
        <v>0.21610317183687697</v>
      </c>
      <c r="J543">
        <f>YEAR(Table1[[#This Row],[Order Date]])</f>
        <v>2023</v>
      </c>
      <c r="K543" t="str">
        <f>TEXT(Table1[[#This Row],[Order Date]], "MMM")</f>
        <v>Jul</v>
      </c>
    </row>
    <row r="544" spans="1:11">
      <c r="A544">
        <v>1317</v>
      </c>
      <c r="B544" s="4" t="s">
        <v>216</v>
      </c>
      <c r="C544" t="s">
        <v>27</v>
      </c>
      <c r="D544" t="s">
        <v>13</v>
      </c>
      <c r="E544" s="8">
        <v>3952</v>
      </c>
      <c r="F544" s="8">
        <v>801</v>
      </c>
      <c r="G544" t="s">
        <v>18</v>
      </c>
      <c r="H544" t="s">
        <v>15</v>
      </c>
      <c r="I544">
        <f>F544/E544</f>
        <v>0.20268218623481782</v>
      </c>
      <c r="J544">
        <f>YEAR(Table1[[#This Row],[Order Date]])</f>
        <v>2023</v>
      </c>
      <c r="K544" t="str">
        <f>TEXT(Table1[[#This Row],[Order Date]], "MMM")</f>
        <v>Jul</v>
      </c>
    </row>
    <row r="545" spans="1:11">
      <c r="A545">
        <v>1405</v>
      </c>
      <c r="B545" s="4" t="s">
        <v>216</v>
      </c>
      <c r="C545" t="s">
        <v>12</v>
      </c>
      <c r="D545" t="s">
        <v>13</v>
      </c>
      <c r="E545" s="8">
        <v>1893</v>
      </c>
      <c r="F545" s="8">
        <v>62</v>
      </c>
      <c r="G545" t="s">
        <v>30</v>
      </c>
      <c r="H545" t="s">
        <v>15</v>
      </c>
      <c r="I545">
        <f>F545/E545</f>
        <v>3.2752245113576335E-2</v>
      </c>
      <c r="J545">
        <f>YEAR(Table1[[#This Row],[Order Date]])</f>
        <v>2023</v>
      </c>
      <c r="K545" t="str">
        <f>TEXT(Table1[[#This Row],[Order Date]], "MMM")</f>
        <v>Jul</v>
      </c>
    </row>
    <row r="546" spans="1:11">
      <c r="A546">
        <v>1409</v>
      </c>
      <c r="B546" s="4" t="s">
        <v>216</v>
      </c>
      <c r="C546" t="s">
        <v>17</v>
      </c>
      <c r="D546" t="s">
        <v>25</v>
      </c>
      <c r="E546" s="8">
        <v>4994</v>
      </c>
      <c r="F546" s="8">
        <v>781</v>
      </c>
      <c r="G546" t="s">
        <v>23</v>
      </c>
      <c r="H546" t="s">
        <v>19</v>
      </c>
      <c r="I546">
        <f>F546/E546</f>
        <v>0.15638766519823788</v>
      </c>
      <c r="J546">
        <f>YEAR(Table1[[#This Row],[Order Date]])</f>
        <v>2023</v>
      </c>
      <c r="K546" t="str">
        <f>TEXT(Table1[[#This Row],[Order Date]], "MMM")</f>
        <v>Jul</v>
      </c>
    </row>
    <row r="547" spans="1:11">
      <c r="A547">
        <v>1721</v>
      </c>
      <c r="B547" s="4" t="s">
        <v>216</v>
      </c>
      <c r="C547" t="s">
        <v>12</v>
      </c>
      <c r="D547" t="s">
        <v>13</v>
      </c>
      <c r="E547" s="8">
        <v>2649</v>
      </c>
      <c r="F547" s="8">
        <v>312</v>
      </c>
      <c r="G547" t="s">
        <v>18</v>
      </c>
      <c r="H547" t="s">
        <v>19</v>
      </c>
      <c r="I547">
        <f>F547/E547</f>
        <v>0.11778029445073612</v>
      </c>
      <c r="J547">
        <f>YEAR(Table1[[#This Row],[Order Date]])</f>
        <v>2023</v>
      </c>
      <c r="K547" t="str">
        <f>TEXT(Table1[[#This Row],[Order Date]], "MMM")</f>
        <v>Jul</v>
      </c>
    </row>
    <row r="548" spans="1:11">
      <c r="A548">
        <v>1022</v>
      </c>
      <c r="B548" s="4" t="s">
        <v>217</v>
      </c>
      <c r="C548" t="s">
        <v>17</v>
      </c>
      <c r="D548" t="s">
        <v>22</v>
      </c>
      <c r="E548" s="8">
        <v>1137</v>
      </c>
      <c r="F548" s="8">
        <v>497</v>
      </c>
      <c r="G548" t="s">
        <v>23</v>
      </c>
      <c r="H548" t="s">
        <v>15</v>
      </c>
      <c r="I548">
        <f>F548/E548</f>
        <v>0.43711521547933158</v>
      </c>
      <c r="J548">
        <f>YEAR(Table1[[#This Row],[Order Date]])</f>
        <v>2023</v>
      </c>
      <c r="K548" t="str">
        <f>TEXT(Table1[[#This Row],[Order Date]], "MMM")</f>
        <v>Jul</v>
      </c>
    </row>
    <row r="549" spans="1:11">
      <c r="A549">
        <v>1218</v>
      </c>
      <c r="B549" s="4" t="s">
        <v>217</v>
      </c>
      <c r="C549" t="s">
        <v>24</v>
      </c>
      <c r="D549" t="s">
        <v>22</v>
      </c>
      <c r="E549" s="8">
        <v>119</v>
      </c>
      <c r="F549" s="8">
        <v>623</v>
      </c>
      <c r="G549" t="s">
        <v>23</v>
      </c>
      <c r="H549" t="s">
        <v>15</v>
      </c>
      <c r="I549">
        <f>F549/E549</f>
        <v>5.2352941176470589</v>
      </c>
      <c r="J549">
        <f>YEAR(Table1[[#This Row],[Order Date]])</f>
        <v>2023</v>
      </c>
      <c r="K549" t="str">
        <f>TEXT(Table1[[#This Row],[Order Date]], "MMM")</f>
        <v>Jul</v>
      </c>
    </row>
    <row r="550" spans="1:11">
      <c r="A550">
        <v>1353</v>
      </c>
      <c r="B550" s="4" t="s">
        <v>217</v>
      </c>
      <c r="C550" t="s">
        <v>27</v>
      </c>
      <c r="D550" t="s">
        <v>13</v>
      </c>
      <c r="E550" s="8">
        <v>503</v>
      </c>
      <c r="F550" s="8">
        <v>203</v>
      </c>
      <c r="G550" t="s">
        <v>30</v>
      </c>
      <c r="H550" t="s">
        <v>15</v>
      </c>
      <c r="I550">
        <f>F550/E550</f>
        <v>0.40357852882703776</v>
      </c>
      <c r="J550">
        <f>YEAR(Table1[[#This Row],[Order Date]])</f>
        <v>2023</v>
      </c>
      <c r="K550" t="str">
        <f>TEXT(Table1[[#This Row],[Order Date]], "MMM")</f>
        <v>Jul</v>
      </c>
    </row>
    <row r="551" spans="1:11">
      <c r="A551">
        <v>1466</v>
      </c>
      <c r="B551" s="4" t="s">
        <v>217</v>
      </c>
      <c r="C551" t="s">
        <v>27</v>
      </c>
      <c r="D551" t="s">
        <v>22</v>
      </c>
      <c r="E551" s="8">
        <v>3946</v>
      </c>
      <c r="F551" s="8">
        <v>810</v>
      </c>
      <c r="G551" t="s">
        <v>14</v>
      </c>
      <c r="H551" t="s">
        <v>19</v>
      </c>
      <c r="I551">
        <f>F551/E551</f>
        <v>0.20527116066903192</v>
      </c>
      <c r="J551">
        <f>YEAR(Table1[[#This Row],[Order Date]])</f>
        <v>2023</v>
      </c>
      <c r="K551" t="str">
        <f>TEXT(Table1[[#This Row],[Order Date]], "MMM")</f>
        <v>Jul</v>
      </c>
    </row>
    <row r="552" spans="1:11">
      <c r="A552">
        <v>1907</v>
      </c>
      <c r="B552" s="4" t="s">
        <v>217</v>
      </c>
      <c r="C552" t="s">
        <v>12</v>
      </c>
      <c r="D552" t="s">
        <v>13</v>
      </c>
      <c r="E552" s="8">
        <v>867</v>
      </c>
      <c r="F552" s="8">
        <v>604</v>
      </c>
      <c r="G552" t="s">
        <v>18</v>
      </c>
      <c r="H552" t="s">
        <v>19</v>
      </c>
      <c r="I552">
        <f>F552/E552</f>
        <v>0.69665513264129186</v>
      </c>
      <c r="J552">
        <f>YEAR(Table1[[#This Row],[Order Date]])</f>
        <v>2023</v>
      </c>
      <c r="K552" t="str">
        <f>TEXT(Table1[[#This Row],[Order Date]], "MMM")</f>
        <v>Jul</v>
      </c>
    </row>
    <row r="553" spans="1:11">
      <c r="A553">
        <v>1531</v>
      </c>
      <c r="B553" s="4" t="s">
        <v>218</v>
      </c>
      <c r="C553" t="s">
        <v>12</v>
      </c>
      <c r="D553" t="s">
        <v>13</v>
      </c>
      <c r="E553" s="8">
        <v>2164</v>
      </c>
      <c r="F553" s="8">
        <v>892</v>
      </c>
      <c r="G553" t="s">
        <v>18</v>
      </c>
      <c r="H553" t="s">
        <v>19</v>
      </c>
      <c r="I553">
        <f>F553/E553</f>
        <v>0.4121996303142329</v>
      </c>
      <c r="J553">
        <f>YEAR(Table1[[#This Row],[Order Date]])</f>
        <v>2023</v>
      </c>
      <c r="K553" t="str">
        <f>TEXT(Table1[[#This Row],[Order Date]], "MMM")</f>
        <v>Jul</v>
      </c>
    </row>
    <row r="554" spans="1:11">
      <c r="A554">
        <v>1006</v>
      </c>
      <c r="B554" s="4" t="s">
        <v>219</v>
      </c>
      <c r="C554" t="s">
        <v>24</v>
      </c>
      <c r="D554" t="s">
        <v>25</v>
      </c>
      <c r="E554" s="8">
        <v>2342</v>
      </c>
      <c r="F554" s="8">
        <v>634</v>
      </c>
      <c r="G554" t="s">
        <v>23</v>
      </c>
      <c r="H554" t="s">
        <v>15</v>
      </c>
      <c r="I554">
        <f>F554/E554</f>
        <v>0.27070879590093938</v>
      </c>
      <c r="J554">
        <f>YEAR(Table1[[#This Row],[Order Date]])</f>
        <v>2023</v>
      </c>
      <c r="K554" t="str">
        <f>TEXT(Table1[[#This Row],[Order Date]], "MMM")</f>
        <v>Jul</v>
      </c>
    </row>
    <row r="555" spans="1:11">
      <c r="A555">
        <v>1067</v>
      </c>
      <c r="B555" s="4" t="s">
        <v>219</v>
      </c>
      <c r="C555" t="s">
        <v>17</v>
      </c>
      <c r="D555" t="s">
        <v>13</v>
      </c>
      <c r="E555" s="8">
        <v>4752</v>
      </c>
      <c r="F555" s="8">
        <v>522</v>
      </c>
      <c r="G555" t="s">
        <v>14</v>
      </c>
      <c r="H555" t="s">
        <v>15</v>
      </c>
      <c r="I555">
        <f>F555/E555</f>
        <v>0.10984848484848485</v>
      </c>
      <c r="J555">
        <f>YEAR(Table1[[#This Row],[Order Date]])</f>
        <v>2023</v>
      </c>
      <c r="K555" t="str">
        <f>TEXT(Table1[[#This Row],[Order Date]], "MMM")</f>
        <v>Jul</v>
      </c>
    </row>
    <row r="556" spans="1:11">
      <c r="A556">
        <v>1092</v>
      </c>
      <c r="B556" s="4" t="s">
        <v>219</v>
      </c>
      <c r="C556" t="s">
        <v>28</v>
      </c>
      <c r="D556" t="s">
        <v>13</v>
      </c>
      <c r="E556" s="8">
        <v>2498</v>
      </c>
      <c r="F556" s="8">
        <v>462</v>
      </c>
      <c r="G556" t="s">
        <v>14</v>
      </c>
      <c r="H556" t="s">
        <v>19</v>
      </c>
      <c r="I556">
        <f>F556/E556</f>
        <v>0.18494795836669337</v>
      </c>
      <c r="J556">
        <f>YEAR(Table1[[#This Row],[Order Date]])</f>
        <v>2023</v>
      </c>
      <c r="K556" t="str">
        <f>TEXT(Table1[[#This Row],[Order Date]], "MMM")</f>
        <v>Jul</v>
      </c>
    </row>
    <row r="557" spans="1:11">
      <c r="A557">
        <v>1295</v>
      </c>
      <c r="B557" s="4" t="s">
        <v>219</v>
      </c>
      <c r="C557" t="s">
        <v>28</v>
      </c>
      <c r="D557" t="s">
        <v>22</v>
      </c>
      <c r="E557" s="8">
        <v>722</v>
      </c>
      <c r="F557" s="8">
        <v>326</v>
      </c>
      <c r="G557" t="s">
        <v>14</v>
      </c>
      <c r="H557" t="s">
        <v>15</v>
      </c>
      <c r="I557">
        <f>F557/E557</f>
        <v>0.45152354570637121</v>
      </c>
      <c r="J557">
        <f>YEAR(Table1[[#This Row],[Order Date]])</f>
        <v>2023</v>
      </c>
      <c r="K557" t="str">
        <f>TEXT(Table1[[#This Row],[Order Date]], "MMM")</f>
        <v>Jul</v>
      </c>
    </row>
    <row r="558" spans="1:11">
      <c r="A558">
        <v>1804</v>
      </c>
      <c r="B558" s="4" t="s">
        <v>219</v>
      </c>
      <c r="C558" t="s">
        <v>21</v>
      </c>
      <c r="D558" t="s">
        <v>13</v>
      </c>
      <c r="E558" s="8">
        <v>1780</v>
      </c>
      <c r="F558" s="8">
        <v>893</v>
      </c>
      <c r="G558" t="s">
        <v>23</v>
      </c>
      <c r="H558" t="s">
        <v>19</v>
      </c>
      <c r="I558">
        <f>F558/E558</f>
        <v>0.50168539325842698</v>
      </c>
      <c r="J558">
        <f>YEAR(Table1[[#This Row],[Order Date]])</f>
        <v>2023</v>
      </c>
      <c r="K558" t="str">
        <f>TEXT(Table1[[#This Row],[Order Date]], "MMM")</f>
        <v>Jul</v>
      </c>
    </row>
    <row r="559" spans="1:11">
      <c r="A559">
        <v>1996</v>
      </c>
      <c r="B559" s="4" t="s">
        <v>219</v>
      </c>
      <c r="C559" t="s">
        <v>29</v>
      </c>
      <c r="D559" t="s">
        <v>25</v>
      </c>
      <c r="E559" s="8">
        <v>2489</v>
      </c>
      <c r="F559" s="8">
        <v>378</v>
      </c>
      <c r="G559" t="s">
        <v>30</v>
      </c>
      <c r="H559" t="s">
        <v>15</v>
      </c>
      <c r="I559">
        <f>F559/E559</f>
        <v>0.15186822016874246</v>
      </c>
      <c r="J559">
        <f>YEAR(Table1[[#This Row],[Order Date]])</f>
        <v>2023</v>
      </c>
      <c r="K559" t="str">
        <f>TEXT(Table1[[#This Row],[Order Date]], "MMM")</f>
        <v>Jul</v>
      </c>
    </row>
    <row r="560" spans="1:11">
      <c r="A560">
        <v>1024</v>
      </c>
      <c r="B560" s="4" t="s">
        <v>220</v>
      </c>
      <c r="C560" t="s">
        <v>24</v>
      </c>
      <c r="D560" t="s">
        <v>22</v>
      </c>
      <c r="E560" s="8">
        <v>2024</v>
      </c>
      <c r="F560" s="8">
        <v>409</v>
      </c>
      <c r="G560" t="s">
        <v>14</v>
      </c>
      <c r="H560" t="s">
        <v>15</v>
      </c>
      <c r="I560">
        <f>F560/E560</f>
        <v>0.20207509881422925</v>
      </c>
      <c r="J560">
        <f>YEAR(Table1[[#This Row],[Order Date]])</f>
        <v>2023</v>
      </c>
      <c r="K560" t="str">
        <f>TEXT(Table1[[#This Row],[Order Date]], "MMM")</f>
        <v>Jul</v>
      </c>
    </row>
    <row r="561" spans="1:11">
      <c r="A561">
        <v>1849</v>
      </c>
      <c r="B561" s="4" t="s">
        <v>221</v>
      </c>
      <c r="C561" t="s">
        <v>21</v>
      </c>
      <c r="D561" t="s">
        <v>22</v>
      </c>
      <c r="E561" s="8">
        <v>1950</v>
      </c>
      <c r="F561" s="8">
        <v>375</v>
      </c>
      <c r="G561" t="s">
        <v>14</v>
      </c>
      <c r="H561" t="s">
        <v>15</v>
      </c>
      <c r="I561">
        <f>F561/E561</f>
        <v>0.19230769230769232</v>
      </c>
      <c r="J561">
        <f>YEAR(Table1[[#This Row],[Order Date]])</f>
        <v>2023</v>
      </c>
      <c r="K561" t="str">
        <f>TEXT(Table1[[#This Row],[Order Date]], "MMM")</f>
        <v>Jul</v>
      </c>
    </row>
    <row r="562" spans="1:11">
      <c r="A562">
        <v>1065</v>
      </c>
      <c r="B562" s="4" t="s">
        <v>222</v>
      </c>
      <c r="C562" t="s">
        <v>12</v>
      </c>
      <c r="D562" t="s">
        <v>13</v>
      </c>
      <c r="E562" s="8">
        <v>3905</v>
      </c>
      <c r="F562" s="8">
        <v>902</v>
      </c>
      <c r="G562" t="s">
        <v>14</v>
      </c>
      <c r="H562" t="s">
        <v>19</v>
      </c>
      <c r="I562">
        <f>F562/E562</f>
        <v>0.23098591549295774</v>
      </c>
      <c r="J562">
        <f>YEAR(Table1[[#This Row],[Order Date]])</f>
        <v>2023</v>
      </c>
      <c r="K562" t="str">
        <f>TEXT(Table1[[#This Row],[Order Date]], "MMM")</f>
        <v>Jul</v>
      </c>
    </row>
    <row r="563" spans="1:11">
      <c r="A563">
        <v>1549</v>
      </c>
      <c r="B563" s="4" t="s">
        <v>222</v>
      </c>
      <c r="C563" t="s">
        <v>27</v>
      </c>
      <c r="D563" t="s">
        <v>22</v>
      </c>
      <c r="E563" s="8">
        <v>4672</v>
      </c>
      <c r="F563" s="8">
        <v>498</v>
      </c>
      <c r="G563" t="s">
        <v>23</v>
      </c>
      <c r="H563" t="s">
        <v>15</v>
      </c>
      <c r="I563">
        <f>F563/E563</f>
        <v>0.10659246575342465</v>
      </c>
      <c r="J563">
        <f>YEAR(Table1[[#This Row],[Order Date]])</f>
        <v>2023</v>
      </c>
      <c r="K563" t="str">
        <f>TEXT(Table1[[#This Row],[Order Date]], "MMM")</f>
        <v>Jul</v>
      </c>
    </row>
    <row r="564" spans="1:11">
      <c r="A564">
        <v>1583</v>
      </c>
      <c r="B564" s="4" t="s">
        <v>222</v>
      </c>
      <c r="C564" t="s">
        <v>29</v>
      </c>
      <c r="D564" t="s">
        <v>25</v>
      </c>
      <c r="E564" s="8">
        <v>1890</v>
      </c>
      <c r="F564" s="8">
        <v>341</v>
      </c>
      <c r="G564" t="s">
        <v>30</v>
      </c>
      <c r="H564" t="s">
        <v>19</v>
      </c>
      <c r="I564">
        <f>F564/E564</f>
        <v>0.18042328042328043</v>
      </c>
      <c r="J564">
        <f>YEAR(Table1[[#This Row],[Order Date]])</f>
        <v>2023</v>
      </c>
      <c r="K564" t="str">
        <f>TEXT(Table1[[#This Row],[Order Date]], "MMM")</f>
        <v>Jul</v>
      </c>
    </row>
    <row r="565" spans="1:11">
      <c r="A565">
        <v>1782</v>
      </c>
      <c r="B565" s="4" t="s">
        <v>222</v>
      </c>
      <c r="C565" t="s">
        <v>28</v>
      </c>
      <c r="D565" t="s">
        <v>13</v>
      </c>
      <c r="E565" s="8">
        <v>4556</v>
      </c>
      <c r="F565" s="8">
        <v>479</v>
      </c>
      <c r="G565" t="s">
        <v>23</v>
      </c>
      <c r="H565" t="s">
        <v>19</v>
      </c>
      <c r="I565">
        <f>F565/E565</f>
        <v>0.10513608428446006</v>
      </c>
      <c r="J565">
        <f>YEAR(Table1[[#This Row],[Order Date]])</f>
        <v>2023</v>
      </c>
      <c r="K565" t="str">
        <f>TEXT(Table1[[#This Row],[Order Date]], "MMM")</f>
        <v>Jul</v>
      </c>
    </row>
    <row r="566" spans="1:11">
      <c r="A566">
        <v>1788</v>
      </c>
      <c r="B566" s="4" t="s">
        <v>222</v>
      </c>
      <c r="C566" t="s">
        <v>27</v>
      </c>
      <c r="D566" t="s">
        <v>25</v>
      </c>
      <c r="E566" s="8">
        <v>3439</v>
      </c>
      <c r="F566" s="8">
        <v>270</v>
      </c>
      <c r="G566" t="s">
        <v>18</v>
      </c>
      <c r="H566" t="s">
        <v>15</v>
      </c>
      <c r="I566">
        <f>F566/E566</f>
        <v>7.8511195114858975E-2</v>
      </c>
      <c r="J566">
        <f>YEAR(Table1[[#This Row],[Order Date]])</f>
        <v>2023</v>
      </c>
      <c r="K566" t="str">
        <f>TEXT(Table1[[#This Row],[Order Date]], "MMM")</f>
        <v>Jul</v>
      </c>
    </row>
    <row r="567" spans="1:11">
      <c r="A567">
        <v>1264</v>
      </c>
      <c r="B567" s="4" t="s">
        <v>223</v>
      </c>
      <c r="C567" t="s">
        <v>28</v>
      </c>
      <c r="D567" t="s">
        <v>25</v>
      </c>
      <c r="E567" s="8">
        <v>4303</v>
      </c>
      <c r="F567" s="8">
        <v>93</v>
      </c>
      <c r="G567" t="s">
        <v>14</v>
      </c>
      <c r="H567" t="s">
        <v>15</v>
      </c>
      <c r="I567">
        <f>F567/E567</f>
        <v>2.1612828259353938E-2</v>
      </c>
      <c r="J567">
        <f>YEAR(Table1[[#This Row],[Order Date]])</f>
        <v>2023</v>
      </c>
      <c r="K567" t="str">
        <f>TEXT(Table1[[#This Row],[Order Date]], "MMM")</f>
        <v>Jul</v>
      </c>
    </row>
    <row r="568" spans="1:11">
      <c r="A568">
        <v>1992</v>
      </c>
      <c r="B568" s="4" t="s">
        <v>223</v>
      </c>
      <c r="C568" t="s">
        <v>12</v>
      </c>
      <c r="D568" t="s">
        <v>25</v>
      </c>
      <c r="E568" s="8">
        <v>293</v>
      </c>
      <c r="F568" s="8">
        <v>302</v>
      </c>
      <c r="G568" t="s">
        <v>30</v>
      </c>
      <c r="H568" t="s">
        <v>19</v>
      </c>
      <c r="I568">
        <f>F568/E568</f>
        <v>1.0307167235494881</v>
      </c>
      <c r="J568">
        <f>YEAR(Table1[[#This Row],[Order Date]])</f>
        <v>2023</v>
      </c>
      <c r="K568" t="str">
        <f>TEXT(Table1[[#This Row],[Order Date]], "MMM")</f>
        <v>Jul</v>
      </c>
    </row>
    <row r="569" spans="1:11">
      <c r="A569">
        <v>1284</v>
      </c>
      <c r="B569" s="4" t="s">
        <v>224</v>
      </c>
      <c r="C569" t="s">
        <v>27</v>
      </c>
      <c r="D569" t="s">
        <v>25</v>
      </c>
      <c r="E569" s="8">
        <v>1541</v>
      </c>
      <c r="F569" s="8">
        <v>739</v>
      </c>
      <c r="G569" t="s">
        <v>23</v>
      </c>
      <c r="H569" t="s">
        <v>15</v>
      </c>
      <c r="I569">
        <f>F569/E569</f>
        <v>0.47955872809863725</v>
      </c>
      <c r="J569">
        <f>YEAR(Table1[[#This Row],[Order Date]])</f>
        <v>2023</v>
      </c>
      <c r="K569" t="str">
        <f>TEXT(Table1[[#This Row],[Order Date]], "MMM")</f>
        <v>Jul</v>
      </c>
    </row>
    <row r="570" spans="1:11">
      <c r="A570">
        <v>1296</v>
      </c>
      <c r="B570" s="4" t="s">
        <v>224</v>
      </c>
      <c r="C570" t="s">
        <v>24</v>
      </c>
      <c r="D570" t="s">
        <v>25</v>
      </c>
      <c r="E570" s="8">
        <v>2371</v>
      </c>
      <c r="F570" s="8">
        <v>698</v>
      </c>
      <c r="G570" t="s">
        <v>18</v>
      </c>
      <c r="H570" t="s">
        <v>15</v>
      </c>
      <c r="I570">
        <f>F570/E570</f>
        <v>0.29439055250948964</v>
      </c>
      <c r="J570">
        <f>YEAR(Table1[[#This Row],[Order Date]])</f>
        <v>2023</v>
      </c>
      <c r="K570" t="str">
        <f>TEXT(Table1[[#This Row],[Order Date]], "MMM")</f>
        <v>Jul</v>
      </c>
    </row>
    <row r="571" spans="1:11">
      <c r="A571">
        <v>1394</v>
      </c>
      <c r="B571" s="4" t="s">
        <v>224</v>
      </c>
      <c r="C571" t="s">
        <v>29</v>
      </c>
      <c r="D571" t="s">
        <v>13</v>
      </c>
      <c r="E571" s="8">
        <v>1097</v>
      </c>
      <c r="F571" s="8">
        <v>855</v>
      </c>
      <c r="G571" t="s">
        <v>23</v>
      </c>
      <c r="H571" t="s">
        <v>19</v>
      </c>
      <c r="I571">
        <f>F571/E571</f>
        <v>0.77939835916134914</v>
      </c>
      <c r="J571">
        <f>YEAR(Table1[[#This Row],[Order Date]])</f>
        <v>2023</v>
      </c>
      <c r="K571" t="str">
        <f>TEXT(Table1[[#This Row],[Order Date]], "MMM")</f>
        <v>Jul</v>
      </c>
    </row>
    <row r="572" spans="1:11">
      <c r="A572">
        <v>1617</v>
      </c>
      <c r="B572" s="4" t="s">
        <v>224</v>
      </c>
      <c r="C572" t="s">
        <v>27</v>
      </c>
      <c r="D572" t="s">
        <v>25</v>
      </c>
      <c r="E572" s="8">
        <v>2909</v>
      </c>
      <c r="F572" s="8">
        <v>352</v>
      </c>
      <c r="G572" t="s">
        <v>23</v>
      </c>
      <c r="H572" t="s">
        <v>15</v>
      </c>
      <c r="I572">
        <f>F572/E572</f>
        <v>0.12100378136816775</v>
      </c>
      <c r="J572">
        <f>YEAR(Table1[[#This Row],[Order Date]])</f>
        <v>2023</v>
      </c>
      <c r="K572" t="str">
        <f>TEXT(Table1[[#This Row],[Order Date]], "MMM")</f>
        <v>Jul</v>
      </c>
    </row>
    <row r="573" spans="1:11">
      <c r="A573">
        <v>1836</v>
      </c>
      <c r="B573" s="4" t="s">
        <v>224</v>
      </c>
      <c r="C573" t="s">
        <v>27</v>
      </c>
      <c r="D573" t="s">
        <v>25</v>
      </c>
      <c r="E573" s="8">
        <v>2484</v>
      </c>
      <c r="F573" s="8">
        <v>681</v>
      </c>
      <c r="G573" t="s">
        <v>14</v>
      </c>
      <c r="H573" t="s">
        <v>15</v>
      </c>
      <c r="I573">
        <f>F573/E573</f>
        <v>0.27415458937198067</v>
      </c>
      <c r="J573">
        <f>YEAR(Table1[[#This Row],[Order Date]])</f>
        <v>2023</v>
      </c>
      <c r="K573" t="str">
        <f>TEXT(Table1[[#This Row],[Order Date]], "MMM")</f>
        <v>Jul</v>
      </c>
    </row>
    <row r="574" spans="1:11">
      <c r="A574">
        <v>1377</v>
      </c>
      <c r="B574" s="4" t="s">
        <v>225</v>
      </c>
      <c r="C574" t="s">
        <v>12</v>
      </c>
      <c r="D574" t="s">
        <v>22</v>
      </c>
      <c r="E574" s="8">
        <v>1905</v>
      </c>
      <c r="F574" s="8">
        <v>577</v>
      </c>
      <c r="G574" t="s">
        <v>18</v>
      </c>
      <c r="H574" t="s">
        <v>19</v>
      </c>
      <c r="I574">
        <f>F574/E574</f>
        <v>0.30288713910761156</v>
      </c>
      <c r="J574">
        <f>YEAR(Table1[[#This Row],[Order Date]])</f>
        <v>2023</v>
      </c>
      <c r="K574" t="str">
        <f>TEXT(Table1[[#This Row],[Order Date]], "MMM")</f>
        <v>Jul</v>
      </c>
    </row>
    <row r="575" spans="1:11">
      <c r="A575">
        <v>1398</v>
      </c>
      <c r="B575" s="4" t="s">
        <v>225</v>
      </c>
      <c r="C575" t="s">
        <v>17</v>
      </c>
      <c r="D575" t="s">
        <v>13</v>
      </c>
      <c r="E575" s="8">
        <v>2357</v>
      </c>
      <c r="F575" s="8">
        <v>700</v>
      </c>
      <c r="G575" t="s">
        <v>23</v>
      </c>
      <c r="H575" t="s">
        <v>15</v>
      </c>
      <c r="I575">
        <f>F575/E575</f>
        <v>0.29698769622401355</v>
      </c>
      <c r="J575">
        <f>YEAR(Table1[[#This Row],[Order Date]])</f>
        <v>2023</v>
      </c>
      <c r="K575" t="str">
        <f>TEXT(Table1[[#This Row],[Order Date]], "MMM")</f>
        <v>Jul</v>
      </c>
    </row>
    <row r="576" spans="1:11">
      <c r="A576">
        <v>1438</v>
      </c>
      <c r="B576" s="4" t="s">
        <v>225</v>
      </c>
      <c r="C576" t="s">
        <v>17</v>
      </c>
      <c r="D576" t="s">
        <v>22</v>
      </c>
      <c r="E576" s="8">
        <v>2482</v>
      </c>
      <c r="F576" s="8">
        <v>490</v>
      </c>
      <c r="G576" t="s">
        <v>14</v>
      </c>
      <c r="H576" t="s">
        <v>19</v>
      </c>
      <c r="I576">
        <f>F576/E576</f>
        <v>0.19742143432715553</v>
      </c>
      <c r="J576">
        <f>YEAR(Table1[[#This Row],[Order Date]])</f>
        <v>2023</v>
      </c>
      <c r="K576" t="str">
        <f>TEXT(Table1[[#This Row],[Order Date]], "MMM")</f>
        <v>Jul</v>
      </c>
    </row>
    <row r="577" spans="1:11">
      <c r="A577">
        <v>1450</v>
      </c>
      <c r="B577" s="4" t="s">
        <v>225</v>
      </c>
      <c r="C577" t="s">
        <v>12</v>
      </c>
      <c r="D577" t="s">
        <v>13</v>
      </c>
      <c r="E577" s="8">
        <v>1519</v>
      </c>
      <c r="F577" s="8">
        <v>534</v>
      </c>
      <c r="G577" t="s">
        <v>18</v>
      </c>
      <c r="H577" t="s">
        <v>15</v>
      </c>
      <c r="I577">
        <f>F577/E577</f>
        <v>0.35154707044107963</v>
      </c>
      <c r="J577">
        <f>YEAR(Table1[[#This Row],[Order Date]])</f>
        <v>2023</v>
      </c>
      <c r="K577" t="str">
        <f>TEXT(Table1[[#This Row],[Order Date]], "MMM")</f>
        <v>Jul</v>
      </c>
    </row>
    <row r="578" spans="1:11">
      <c r="A578">
        <v>1478</v>
      </c>
      <c r="B578" s="4" t="s">
        <v>225</v>
      </c>
      <c r="C578" t="s">
        <v>24</v>
      </c>
      <c r="D578" t="s">
        <v>13</v>
      </c>
      <c r="E578" s="8">
        <v>2613</v>
      </c>
      <c r="F578" s="8">
        <v>465</v>
      </c>
      <c r="G578" t="s">
        <v>14</v>
      </c>
      <c r="H578" t="s">
        <v>19</v>
      </c>
      <c r="I578">
        <f>F578/E578</f>
        <v>0.17795637198622274</v>
      </c>
      <c r="J578">
        <f>YEAR(Table1[[#This Row],[Order Date]])</f>
        <v>2023</v>
      </c>
      <c r="K578" t="str">
        <f>TEXT(Table1[[#This Row],[Order Date]], "MMM")</f>
        <v>Jul</v>
      </c>
    </row>
    <row r="579" spans="1:11">
      <c r="A579">
        <v>1705</v>
      </c>
      <c r="B579" s="4" t="s">
        <v>225</v>
      </c>
      <c r="C579" t="s">
        <v>21</v>
      </c>
      <c r="D579" t="s">
        <v>13</v>
      </c>
      <c r="E579" s="8">
        <v>1925</v>
      </c>
      <c r="F579" s="8">
        <v>339</v>
      </c>
      <c r="G579" t="s">
        <v>30</v>
      </c>
      <c r="H579" t="s">
        <v>19</v>
      </c>
      <c r="I579">
        <f>F579/E579</f>
        <v>0.1761038961038961</v>
      </c>
      <c r="J579">
        <f>YEAR(Table1[[#This Row],[Order Date]])</f>
        <v>2023</v>
      </c>
      <c r="K579" t="str">
        <f>TEXT(Table1[[#This Row],[Order Date]], "MMM")</f>
        <v>Jul</v>
      </c>
    </row>
    <row r="580" spans="1:11">
      <c r="A580">
        <v>1529</v>
      </c>
      <c r="B580" s="4" t="s">
        <v>226</v>
      </c>
      <c r="C580" t="s">
        <v>17</v>
      </c>
      <c r="D580" t="s">
        <v>25</v>
      </c>
      <c r="E580" s="8">
        <v>3678</v>
      </c>
      <c r="F580" s="8">
        <v>517</v>
      </c>
      <c r="G580" t="s">
        <v>30</v>
      </c>
      <c r="H580" t="s">
        <v>15</v>
      </c>
      <c r="I580">
        <f>F580/E580</f>
        <v>0.14056552474170744</v>
      </c>
      <c r="J580">
        <f>YEAR(Table1[[#This Row],[Order Date]])</f>
        <v>2023</v>
      </c>
      <c r="K580" t="str">
        <f>TEXT(Table1[[#This Row],[Order Date]], "MMM")</f>
        <v>Jul</v>
      </c>
    </row>
    <row r="581" spans="1:11">
      <c r="A581">
        <v>1615</v>
      </c>
      <c r="B581" s="4" t="s">
        <v>226</v>
      </c>
      <c r="C581" t="s">
        <v>17</v>
      </c>
      <c r="D581" t="s">
        <v>25</v>
      </c>
      <c r="E581" s="8">
        <v>4859</v>
      </c>
      <c r="F581" s="8">
        <v>785</v>
      </c>
      <c r="G581" t="s">
        <v>23</v>
      </c>
      <c r="H581" t="s">
        <v>15</v>
      </c>
      <c r="I581">
        <f>F581/E581</f>
        <v>0.16155587569458738</v>
      </c>
      <c r="J581">
        <f>YEAR(Table1[[#This Row],[Order Date]])</f>
        <v>2023</v>
      </c>
      <c r="K581" t="str">
        <f>TEXT(Table1[[#This Row],[Order Date]], "MMM")</f>
        <v>Jul</v>
      </c>
    </row>
    <row r="582" spans="1:11">
      <c r="A582">
        <v>1042</v>
      </c>
      <c r="B582" s="4" t="s">
        <v>227</v>
      </c>
      <c r="C582" t="s">
        <v>17</v>
      </c>
      <c r="D582" t="s">
        <v>13</v>
      </c>
      <c r="E582" s="8">
        <v>4824</v>
      </c>
      <c r="F582" s="8">
        <v>675</v>
      </c>
      <c r="G582" t="s">
        <v>30</v>
      </c>
      <c r="H582" t="s">
        <v>15</v>
      </c>
      <c r="I582">
        <f>F582/E582</f>
        <v>0.13992537313432835</v>
      </c>
      <c r="J582">
        <f>YEAR(Table1[[#This Row],[Order Date]])</f>
        <v>2023</v>
      </c>
      <c r="K582" t="str">
        <f>TEXT(Table1[[#This Row],[Order Date]], "MMM")</f>
        <v>Aug</v>
      </c>
    </row>
    <row r="583" spans="1:11">
      <c r="A583">
        <v>1125</v>
      </c>
      <c r="B583" s="4" t="s">
        <v>227</v>
      </c>
      <c r="C583" t="s">
        <v>24</v>
      </c>
      <c r="D583" t="s">
        <v>22</v>
      </c>
      <c r="E583" s="8">
        <v>4725</v>
      </c>
      <c r="F583" s="8">
        <v>227</v>
      </c>
      <c r="G583" t="s">
        <v>18</v>
      </c>
      <c r="H583" t="s">
        <v>15</v>
      </c>
      <c r="I583">
        <f>F583/E583</f>
        <v>4.8042328042328039E-2</v>
      </c>
      <c r="J583">
        <f>YEAR(Table1[[#This Row],[Order Date]])</f>
        <v>2023</v>
      </c>
      <c r="K583" t="str">
        <f>TEXT(Table1[[#This Row],[Order Date]], "MMM")</f>
        <v>Aug</v>
      </c>
    </row>
    <row r="584" spans="1:11">
      <c r="A584">
        <v>1664</v>
      </c>
      <c r="B584" s="4" t="s">
        <v>227</v>
      </c>
      <c r="C584" t="s">
        <v>27</v>
      </c>
      <c r="D584" t="s">
        <v>22</v>
      </c>
      <c r="E584" s="8">
        <v>4045</v>
      </c>
      <c r="F584" s="8">
        <v>692</v>
      </c>
      <c r="G584" t="s">
        <v>14</v>
      </c>
      <c r="H584" t="s">
        <v>15</v>
      </c>
      <c r="I584">
        <f>F584/E584</f>
        <v>0.17107540173053151</v>
      </c>
      <c r="J584">
        <f>YEAR(Table1[[#This Row],[Order Date]])</f>
        <v>2023</v>
      </c>
      <c r="K584" t="str">
        <f>TEXT(Table1[[#This Row],[Order Date]], "MMM")</f>
        <v>Aug</v>
      </c>
    </row>
    <row r="585" spans="1:11">
      <c r="A585">
        <v>1835</v>
      </c>
      <c r="B585" s="4" t="s">
        <v>227</v>
      </c>
      <c r="C585" t="s">
        <v>24</v>
      </c>
      <c r="D585" t="s">
        <v>22</v>
      </c>
      <c r="E585" s="8">
        <v>3838</v>
      </c>
      <c r="F585" s="8">
        <v>690</v>
      </c>
      <c r="G585" t="s">
        <v>18</v>
      </c>
      <c r="H585" t="s">
        <v>19</v>
      </c>
      <c r="I585">
        <f>F585/E585</f>
        <v>0.17978113600833767</v>
      </c>
      <c r="J585">
        <f>YEAR(Table1[[#This Row],[Order Date]])</f>
        <v>2023</v>
      </c>
      <c r="K585" t="str">
        <f>TEXT(Table1[[#This Row],[Order Date]], "MMM")</f>
        <v>Aug</v>
      </c>
    </row>
    <row r="586" spans="1:11">
      <c r="A586">
        <v>1869</v>
      </c>
      <c r="B586" s="4" t="s">
        <v>227</v>
      </c>
      <c r="C586" t="s">
        <v>21</v>
      </c>
      <c r="D586" t="s">
        <v>22</v>
      </c>
      <c r="E586" s="8">
        <v>3928</v>
      </c>
      <c r="F586" s="8">
        <v>77</v>
      </c>
      <c r="G586" t="s">
        <v>14</v>
      </c>
      <c r="H586" t="s">
        <v>19</v>
      </c>
      <c r="I586">
        <f>F586/E586</f>
        <v>1.960285132382892E-2</v>
      </c>
      <c r="J586">
        <f>YEAR(Table1[[#This Row],[Order Date]])</f>
        <v>2023</v>
      </c>
      <c r="K586" t="str">
        <f>TEXT(Table1[[#This Row],[Order Date]], "MMM")</f>
        <v>Aug</v>
      </c>
    </row>
    <row r="587" spans="1:11">
      <c r="A587">
        <v>1156</v>
      </c>
      <c r="B587" s="4" t="s">
        <v>228</v>
      </c>
      <c r="C587" t="s">
        <v>29</v>
      </c>
      <c r="D587" t="s">
        <v>25</v>
      </c>
      <c r="E587" s="8">
        <v>1673</v>
      </c>
      <c r="F587" s="8">
        <v>758</v>
      </c>
      <c r="G587" t="s">
        <v>18</v>
      </c>
      <c r="H587" t="s">
        <v>19</v>
      </c>
      <c r="I587">
        <f>F587/E587</f>
        <v>0.45307830245068736</v>
      </c>
      <c r="J587">
        <f>YEAR(Table1[[#This Row],[Order Date]])</f>
        <v>2023</v>
      </c>
      <c r="K587" t="str">
        <f>TEXT(Table1[[#This Row],[Order Date]], "MMM")</f>
        <v>Aug</v>
      </c>
    </row>
    <row r="588" spans="1:11">
      <c r="A588">
        <v>1461</v>
      </c>
      <c r="B588" s="4" t="s">
        <v>228</v>
      </c>
      <c r="C588" t="s">
        <v>21</v>
      </c>
      <c r="D588" t="s">
        <v>22</v>
      </c>
      <c r="E588" s="8">
        <v>1473</v>
      </c>
      <c r="F588" s="8">
        <v>197</v>
      </c>
      <c r="G588" t="s">
        <v>14</v>
      </c>
      <c r="H588" t="s">
        <v>19</v>
      </c>
      <c r="I588">
        <f>F588/E588</f>
        <v>0.13374066530889342</v>
      </c>
      <c r="J588">
        <f>YEAR(Table1[[#This Row],[Order Date]])</f>
        <v>2023</v>
      </c>
      <c r="K588" t="str">
        <f>TEXT(Table1[[#This Row],[Order Date]], "MMM")</f>
        <v>Aug</v>
      </c>
    </row>
    <row r="589" spans="1:11">
      <c r="A589">
        <v>1536</v>
      </c>
      <c r="B589" s="4" t="s">
        <v>228</v>
      </c>
      <c r="C589" t="s">
        <v>17</v>
      </c>
      <c r="D589" t="s">
        <v>25</v>
      </c>
      <c r="E589" s="8">
        <v>1269</v>
      </c>
      <c r="F589" s="8">
        <v>915</v>
      </c>
      <c r="G589" t="s">
        <v>23</v>
      </c>
      <c r="H589" t="s">
        <v>19</v>
      </c>
      <c r="I589">
        <f>F589/E589</f>
        <v>0.72104018912529555</v>
      </c>
      <c r="J589">
        <f>YEAR(Table1[[#This Row],[Order Date]])</f>
        <v>2023</v>
      </c>
      <c r="K589" t="str">
        <f>TEXT(Table1[[#This Row],[Order Date]], "MMM")</f>
        <v>Aug</v>
      </c>
    </row>
    <row r="590" spans="1:11">
      <c r="A590">
        <v>1616</v>
      </c>
      <c r="B590" s="4" t="s">
        <v>228</v>
      </c>
      <c r="C590" t="s">
        <v>21</v>
      </c>
      <c r="D590" t="s">
        <v>22</v>
      </c>
      <c r="E590" s="8">
        <v>4306</v>
      </c>
      <c r="F590" s="8">
        <v>668</v>
      </c>
      <c r="G590" t="s">
        <v>18</v>
      </c>
      <c r="H590" t="s">
        <v>19</v>
      </c>
      <c r="I590">
        <f>F590/E590</f>
        <v>0.15513237343241987</v>
      </c>
      <c r="J590">
        <f>YEAR(Table1[[#This Row],[Order Date]])</f>
        <v>2023</v>
      </c>
      <c r="K590" t="str">
        <f>TEXT(Table1[[#This Row],[Order Date]], "MMM")</f>
        <v>Aug</v>
      </c>
    </row>
    <row r="591" spans="1:11">
      <c r="A591">
        <v>1274</v>
      </c>
      <c r="B591" s="4" t="s">
        <v>229</v>
      </c>
      <c r="C591" t="s">
        <v>24</v>
      </c>
      <c r="D591" t="s">
        <v>13</v>
      </c>
      <c r="E591" s="8">
        <v>1211</v>
      </c>
      <c r="F591" s="8">
        <v>818</v>
      </c>
      <c r="G591" t="s">
        <v>30</v>
      </c>
      <c r="H591" t="s">
        <v>19</v>
      </c>
      <c r="I591">
        <f>F591/E591</f>
        <v>0.67547481420313793</v>
      </c>
      <c r="J591">
        <f>YEAR(Table1[[#This Row],[Order Date]])</f>
        <v>2023</v>
      </c>
      <c r="K591" t="str">
        <f>TEXT(Table1[[#This Row],[Order Date]], "MMM")</f>
        <v>Aug</v>
      </c>
    </row>
    <row r="592" spans="1:11">
      <c r="A592">
        <v>1894</v>
      </c>
      <c r="B592" s="4" t="s">
        <v>229</v>
      </c>
      <c r="C592" t="s">
        <v>28</v>
      </c>
      <c r="D592" t="s">
        <v>22</v>
      </c>
      <c r="E592" s="8">
        <v>121</v>
      </c>
      <c r="F592" s="8">
        <v>910</v>
      </c>
      <c r="G592" t="s">
        <v>30</v>
      </c>
      <c r="H592" t="s">
        <v>19</v>
      </c>
      <c r="I592">
        <f>F592/E592</f>
        <v>7.5206611570247937</v>
      </c>
      <c r="J592">
        <f>YEAR(Table1[[#This Row],[Order Date]])</f>
        <v>2023</v>
      </c>
      <c r="K592" t="str">
        <f>TEXT(Table1[[#This Row],[Order Date]], "MMM")</f>
        <v>Aug</v>
      </c>
    </row>
    <row r="593" spans="1:11">
      <c r="A593">
        <v>1013</v>
      </c>
      <c r="B593" s="4" t="s">
        <v>230</v>
      </c>
      <c r="C593" t="s">
        <v>17</v>
      </c>
      <c r="D593" t="s">
        <v>25</v>
      </c>
      <c r="E593" s="8">
        <v>3503</v>
      </c>
      <c r="F593" s="8">
        <v>104</v>
      </c>
      <c r="G593" t="s">
        <v>23</v>
      </c>
      <c r="H593" t="s">
        <v>19</v>
      </c>
      <c r="I593">
        <f>F593/E593</f>
        <v>2.9688838138738224E-2</v>
      </c>
      <c r="J593">
        <f>YEAR(Table1[[#This Row],[Order Date]])</f>
        <v>2023</v>
      </c>
      <c r="K593" t="str">
        <f>TEXT(Table1[[#This Row],[Order Date]], "MMM")</f>
        <v>Aug</v>
      </c>
    </row>
    <row r="594" spans="1:11">
      <c r="A594">
        <v>1163</v>
      </c>
      <c r="B594" s="4" t="s">
        <v>230</v>
      </c>
      <c r="C594" t="s">
        <v>17</v>
      </c>
      <c r="D594" t="s">
        <v>25</v>
      </c>
      <c r="E594" s="8">
        <v>4574</v>
      </c>
      <c r="F594" s="8">
        <v>891</v>
      </c>
      <c r="G594" t="s">
        <v>14</v>
      </c>
      <c r="H594" t="s">
        <v>19</v>
      </c>
      <c r="I594">
        <f>F594/E594</f>
        <v>0.19479667686926105</v>
      </c>
      <c r="J594">
        <f>YEAR(Table1[[#This Row],[Order Date]])</f>
        <v>2023</v>
      </c>
      <c r="K594" t="str">
        <f>TEXT(Table1[[#This Row],[Order Date]], "MMM")</f>
        <v>Aug</v>
      </c>
    </row>
    <row r="595" spans="1:11">
      <c r="A595">
        <v>1347</v>
      </c>
      <c r="B595" s="4" t="s">
        <v>230</v>
      </c>
      <c r="C595" t="s">
        <v>27</v>
      </c>
      <c r="D595" t="s">
        <v>13</v>
      </c>
      <c r="E595" s="8">
        <v>2766</v>
      </c>
      <c r="F595" s="8">
        <v>648</v>
      </c>
      <c r="G595" t="s">
        <v>30</v>
      </c>
      <c r="H595" t="s">
        <v>15</v>
      </c>
      <c r="I595">
        <f>F595/E595</f>
        <v>0.23427331887201736</v>
      </c>
      <c r="J595">
        <f>YEAR(Table1[[#This Row],[Order Date]])</f>
        <v>2023</v>
      </c>
      <c r="K595" t="str">
        <f>TEXT(Table1[[#This Row],[Order Date]], "MMM")</f>
        <v>Aug</v>
      </c>
    </row>
    <row r="596" spans="1:11">
      <c r="A596">
        <v>1356</v>
      </c>
      <c r="B596" s="4" t="s">
        <v>230</v>
      </c>
      <c r="C596" t="s">
        <v>21</v>
      </c>
      <c r="D596" t="s">
        <v>13</v>
      </c>
      <c r="E596" s="8">
        <v>3490</v>
      </c>
      <c r="F596" s="8">
        <v>991</v>
      </c>
      <c r="G596" t="s">
        <v>14</v>
      </c>
      <c r="H596" t="s">
        <v>15</v>
      </c>
      <c r="I596">
        <f>F596/E596</f>
        <v>0.28395415472779367</v>
      </c>
      <c r="J596">
        <f>YEAR(Table1[[#This Row],[Order Date]])</f>
        <v>2023</v>
      </c>
      <c r="K596" t="str">
        <f>TEXT(Table1[[#This Row],[Order Date]], "MMM")</f>
        <v>Aug</v>
      </c>
    </row>
    <row r="597" spans="1:11">
      <c r="A597">
        <v>1395</v>
      </c>
      <c r="B597" s="4" t="s">
        <v>231</v>
      </c>
      <c r="C597" t="s">
        <v>27</v>
      </c>
      <c r="D597" t="s">
        <v>25</v>
      </c>
      <c r="E597" s="8">
        <v>892</v>
      </c>
      <c r="F597" s="8">
        <v>177</v>
      </c>
      <c r="G597" t="s">
        <v>23</v>
      </c>
      <c r="H597" t="s">
        <v>15</v>
      </c>
      <c r="I597">
        <f>F597/E597</f>
        <v>0.19843049327354259</v>
      </c>
      <c r="J597">
        <f>YEAR(Table1[[#This Row],[Order Date]])</f>
        <v>2023</v>
      </c>
      <c r="K597" t="str">
        <f>TEXT(Table1[[#This Row],[Order Date]], "MMM")</f>
        <v>Aug</v>
      </c>
    </row>
    <row r="598" spans="1:11">
      <c r="A598">
        <v>1098</v>
      </c>
      <c r="B598" s="4" t="s">
        <v>232</v>
      </c>
      <c r="C598" t="s">
        <v>28</v>
      </c>
      <c r="D598" t="s">
        <v>22</v>
      </c>
      <c r="E598" s="8">
        <v>340</v>
      </c>
      <c r="F598" s="8">
        <v>957</v>
      </c>
      <c r="G598" t="s">
        <v>18</v>
      </c>
      <c r="H598" t="s">
        <v>19</v>
      </c>
      <c r="I598">
        <f>F598/E598</f>
        <v>2.8147058823529414</v>
      </c>
      <c r="J598">
        <f>YEAR(Table1[[#This Row],[Order Date]])</f>
        <v>2023</v>
      </c>
      <c r="K598" t="str">
        <f>TEXT(Table1[[#This Row],[Order Date]], "MMM")</f>
        <v>Aug</v>
      </c>
    </row>
    <row r="599" spans="1:11">
      <c r="A599">
        <v>1961</v>
      </c>
      <c r="B599" s="4" t="s">
        <v>232</v>
      </c>
      <c r="C599" t="s">
        <v>21</v>
      </c>
      <c r="D599" t="s">
        <v>25</v>
      </c>
      <c r="E599" s="8">
        <v>2522</v>
      </c>
      <c r="F599" s="8">
        <v>538</v>
      </c>
      <c r="G599" t="s">
        <v>30</v>
      </c>
      <c r="H599" t="s">
        <v>19</v>
      </c>
      <c r="I599">
        <f>F599/E599</f>
        <v>0.21332275971451228</v>
      </c>
      <c r="J599">
        <f>YEAR(Table1[[#This Row],[Order Date]])</f>
        <v>2023</v>
      </c>
      <c r="K599" t="str">
        <f>TEXT(Table1[[#This Row],[Order Date]], "MMM")</f>
        <v>Aug</v>
      </c>
    </row>
    <row r="600" spans="1:11">
      <c r="A600">
        <v>1349</v>
      </c>
      <c r="B600" s="4" t="s">
        <v>233</v>
      </c>
      <c r="C600" t="s">
        <v>12</v>
      </c>
      <c r="D600" t="s">
        <v>25</v>
      </c>
      <c r="E600" s="8">
        <v>3039</v>
      </c>
      <c r="F600" s="8">
        <v>312</v>
      </c>
      <c r="G600" t="s">
        <v>14</v>
      </c>
      <c r="H600" t="s">
        <v>15</v>
      </c>
      <c r="I600">
        <f>F600/E600</f>
        <v>0.10266535044422508</v>
      </c>
      <c r="J600">
        <f>YEAR(Table1[[#This Row],[Order Date]])</f>
        <v>2023</v>
      </c>
      <c r="K600" t="str">
        <f>TEXT(Table1[[#This Row],[Order Date]], "MMM")</f>
        <v>Aug</v>
      </c>
    </row>
    <row r="601" spans="1:11">
      <c r="A601">
        <v>1647</v>
      </c>
      <c r="B601" s="4" t="s">
        <v>234</v>
      </c>
      <c r="C601" t="s">
        <v>17</v>
      </c>
      <c r="D601" t="s">
        <v>22</v>
      </c>
      <c r="E601" s="8">
        <v>529</v>
      </c>
      <c r="F601" s="8">
        <v>55</v>
      </c>
      <c r="G601" t="s">
        <v>14</v>
      </c>
      <c r="H601" t="s">
        <v>19</v>
      </c>
      <c r="I601">
        <f>F601/E601</f>
        <v>0.10396975425330812</v>
      </c>
      <c r="J601">
        <f>YEAR(Table1[[#This Row],[Order Date]])</f>
        <v>2023</v>
      </c>
      <c r="K601" t="str">
        <f>TEXT(Table1[[#This Row],[Order Date]], "MMM")</f>
        <v>Aug</v>
      </c>
    </row>
    <row r="602" spans="1:11">
      <c r="A602">
        <v>1975</v>
      </c>
      <c r="B602" s="4" t="s">
        <v>234</v>
      </c>
      <c r="C602" t="s">
        <v>27</v>
      </c>
      <c r="D602" t="s">
        <v>25</v>
      </c>
      <c r="E602" s="8">
        <v>3615</v>
      </c>
      <c r="F602" s="8">
        <v>930</v>
      </c>
      <c r="G602" t="s">
        <v>30</v>
      </c>
      <c r="H602" t="s">
        <v>15</v>
      </c>
      <c r="I602">
        <f>F602/E602</f>
        <v>0.25726141078838172</v>
      </c>
      <c r="J602">
        <f>YEAR(Table1[[#This Row],[Order Date]])</f>
        <v>2023</v>
      </c>
      <c r="K602" t="str">
        <f>TEXT(Table1[[#This Row],[Order Date]], "MMM")</f>
        <v>Aug</v>
      </c>
    </row>
    <row r="603" spans="1:11">
      <c r="A603">
        <v>1977</v>
      </c>
      <c r="B603" s="4" t="s">
        <v>234</v>
      </c>
      <c r="C603" t="s">
        <v>21</v>
      </c>
      <c r="D603" t="s">
        <v>25</v>
      </c>
      <c r="E603" s="8">
        <v>3860</v>
      </c>
      <c r="F603" s="8">
        <v>922</v>
      </c>
      <c r="G603" t="s">
        <v>23</v>
      </c>
      <c r="H603" t="s">
        <v>15</v>
      </c>
      <c r="I603">
        <f>F603/E603</f>
        <v>0.23886010362694302</v>
      </c>
      <c r="J603">
        <f>YEAR(Table1[[#This Row],[Order Date]])</f>
        <v>2023</v>
      </c>
      <c r="K603" t="str">
        <f>TEXT(Table1[[#This Row],[Order Date]], "MMM")</f>
        <v>Aug</v>
      </c>
    </row>
    <row r="604" spans="1:11">
      <c r="A604">
        <v>1402</v>
      </c>
      <c r="B604" s="4" t="s">
        <v>235</v>
      </c>
      <c r="C604" t="s">
        <v>17</v>
      </c>
      <c r="D604" t="s">
        <v>13</v>
      </c>
      <c r="E604" s="8">
        <v>4489</v>
      </c>
      <c r="F604" s="8">
        <v>375</v>
      </c>
      <c r="G604" t="s">
        <v>30</v>
      </c>
      <c r="H604" t="s">
        <v>19</v>
      </c>
      <c r="I604">
        <f>F604/E604</f>
        <v>8.3537536199599013E-2</v>
      </c>
      <c r="J604">
        <f>YEAR(Table1[[#This Row],[Order Date]])</f>
        <v>2023</v>
      </c>
      <c r="K604" t="str">
        <f>TEXT(Table1[[#This Row],[Order Date]], "MMM")</f>
        <v>Aug</v>
      </c>
    </row>
    <row r="605" spans="1:11">
      <c r="A605">
        <v>1557</v>
      </c>
      <c r="B605" s="4" t="s">
        <v>235</v>
      </c>
      <c r="C605" t="s">
        <v>12</v>
      </c>
      <c r="D605" t="s">
        <v>22</v>
      </c>
      <c r="E605" s="8">
        <v>2526</v>
      </c>
      <c r="F605" s="8">
        <v>195</v>
      </c>
      <c r="G605" t="s">
        <v>30</v>
      </c>
      <c r="H605" t="s">
        <v>19</v>
      </c>
      <c r="I605">
        <f>F605/E605</f>
        <v>7.7197149643705457E-2</v>
      </c>
      <c r="J605">
        <f>YEAR(Table1[[#This Row],[Order Date]])</f>
        <v>2023</v>
      </c>
      <c r="K605" t="str">
        <f>TEXT(Table1[[#This Row],[Order Date]], "MMM")</f>
        <v>Aug</v>
      </c>
    </row>
    <row r="606" spans="1:11">
      <c r="A606">
        <v>1735</v>
      </c>
      <c r="B606" s="4" t="s">
        <v>235</v>
      </c>
      <c r="C606" t="s">
        <v>17</v>
      </c>
      <c r="D606" t="s">
        <v>25</v>
      </c>
      <c r="E606" s="8">
        <v>2799</v>
      </c>
      <c r="F606" s="8">
        <v>755</v>
      </c>
      <c r="G606" t="s">
        <v>18</v>
      </c>
      <c r="H606" t="s">
        <v>15</v>
      </c>
      <c r="I606">
        <f>F606/E606</f>
        <v>0.26973919256877454</v>
      </c>
      <c r="J606">
        <f>YEAR(Table1[[#This Row],[Order Date]])</f>
        <v>2023</v>
      </c>
      <c r="K606" t="str">
        <f>TEXT(Table1[[#This Row],[Order Date]], "MMM")</f>
        <v>Aug</v>
      </c>
    </row>
    <row r="607" spans="1:11">
      <c r="A607">
        <v>1739</v>
      </c>
      <c r="B607" s="4" t="s">
        <v>235</v>
      </c>
      <c r="C607" t="s">
        <v>27</v>
      </c>
      <c r="D607" t="s">
        <v>25</v>
      </c>
      <c r="E607" s="8">
        <v>434</v>
      </c>
      <c r="F607" s="8">
        <v>443</v>
      </c>
      <c r="G607" t="s">
        <v>18</v>
      </c>
      <c r="H607" t="s">
        <v>19</v>
      </c>
      <c r="I607">
        <f>F607/E607</f>
        <v>1.0207373271889402</v>
      </c>
      <c r="J607">
        <f>YEAR(Table1[[#This Row],[Order Date]])</f>
        <v>2023</v>
      </c>
      <c r="K607" t="str">
        <f>TEXT(Table1[[#This Row],[Order Date]], "MMM")</f>
        <v>Aug</v>
      </c>
    </row>
    <row r="608" spans="1:11">
      <c r="A608">
        <v>1201</v>
      </c>
      <c r="B608" s="4" t="s">
        <v>236</v>
      </c>
      <c r="C608" t="s">
        <v>21</v>
      </c>
      <c r="D608" t="s">
        <v>25</v>
      </c>
      <c r="E608" s="8">
        <v>707</v>
      </c>
      <c r="F608" s="8">
        <v>823</v>
      </c>
      <c r="G608" t="s">
        <v>14</v>
      </c>
      <c r="H608" t="s">
        <v>15</v>
      </c>
      <c r="I608">
        <f>F608/E608</f>
        <v>1.164073550212164</v>
      </c>
      <c r="J608">
        <f>YEAR(Table1[[#This Row],[Order Date]])</f>
        <v>2023</v>
      </c>
      <c r="K608" t="str">
        <f>TEXT(Table1[[#This Row],[Order Date]], "MMM")</f>
        <v>Aug</v>
      </c>
    </row>
    <row r="609" spans="1:11">
      <c r="A609">
        <v>1410</v>
      </c>
      <c r="B609" s="4" t="s">
        <v>236</v>
      </c>
      <c r="C609" t="s">
        <v>21</v>
      </c>
      <c r="D609" t="s">
        <v>22</v>
      </c>
      <c r="E609" s="8">
        <v>1487</v>
      </c>
      <c r="F609" s="8">
        <v>976</v>
      </c>
      <c r="G609" t="s">
        <v>18</v>
      </c>
      <c r="H609" t="s">
        <v>15</v>
      </c>
      <c r="I609">
        <f>F609/E609</f>
        <v>0.65635507733692</v>
      </c>
      <c r="J609">
        <f>YEAR(Table1[[#This Row],[Order Date]])</f>
        <v>2023</v>
      </c>
      <c r="K609" t="str">
        <f>TEXT(Table1[[#This Row],[Order Date]], "MMM")</f>
        <v>Aug</v>
      </c>
    </row>
    <row r="610" spans="1:11">
      <c r="A610">
        <v>1524</v>
      </c>
      <c r="B610" s="4" t="s">
        <v>236</v>
      </c>
      <c r="C610" t="s">
        <v>24</v>
      </c>
      <c r="D610" t="s">
        <v>13</v>
      </c>
      <c r="E610" s="8">
        <v>4092</v>
      </c>
      <c r="F610" s="8">
        <v>884</v>
      </c>
      <c r="G610" t="s">
        <v>30</v>
      </c>
      <c r="H610" t="s">
        <v>19</v>
      </c>
      <c r="I610">
        <f>F610/E610</f>
        <v>0.21603128054740958</v>
      </c>
      <c r="J610">
        <f>YEAR(Table1[[#This Row],[Order Date]])</f>
        <v>2023</v>
      </c>
      <c r="K610" t="str">
        <f>TEXT(Table1[[#This Row],[Order Date]], "MMM")</f>
        <v>Aug</v>
      </c>
    </row>
    <row r="611" spans="1:11">
      <c r="A611">
        <v>1846</v>
      </c>
      <c r="B611" s="4" t="s">
        <v>236</v>
      </c>
      <c r="C611" t="s">
        <v>28</v>
      </c>
      <c r="D611" t="s">
        <v>22</v>
      </c>
      <c r="E611" s="8">
        <v>265</v>
      </c>
      <c r="F611" s="8">
        <v>877</v>
      </c>
      <c r="G611" t="s">
        <v>23</v>
      </c>
      <c r="H611" t="s">
        <v>15</v>
      </c>
      <c r="I611">
        <f>F611/E611</f>
        <v>3.3094339622641509</v>
      </c>
      <c r="J611">
        <f>YEAR(Table1[[#This Row],[Order Date]])</f>
        <v>2023</v>
      </c>
      <c r="K611" t="str">
        <f>TEXT(Table1[[#This Row],[Order Date]], "MMM")</f>
        <v>Aug</v>
      </c>
    </row>
    <row r="612" spans="1:11">
      <c r="A612">
        <v>1928</v>
      </c>
      <c r="B612" s="4" t="s">
        <v>236</v>
      </c>
      <c r="C612" t="s">
        <v>27</v>
      </c>
      <c r="D612" t="s">
        <v>22</v>
      </c>
      <c r="E612" s="8">
        <v>1236</v>
      </c>
      <c r="F612" s="8">
        <v>790</v>
      </c>
      <c r="G612" t="s">
        <v>23</v>
      </c>
      <c r="H612" t="s">
        <v>15</v>
      </c>
      <c r="I612">
        <f>F612/E612</f>
        <v>0.63915857605177995</v>
      </c>
      <c r="J612">
        <f>YEAR(Table1[[#This Row],[Order Date]])</f>
        <v>2023</v>
      </c>
      <c r="K612" t="str">
        <f>TEXT(Table1[[#This Row],[Order Date]], "MMM")</f>
        <v>Aug</v>
      </c>
    </row>
    <row r="613" spans="1:11">
      <c r="A613">
        <v>1208</v>
      </c>
      <c r="B613" s="4" t="s">
        <v>237</v>
      </c>
      <c r="C613" t="s">
        <v>17</v>
      </c>
      <c r="D613" t="s">
        <v>22</v>
      </c>
      <c r="E613" s="8">
        <v>3710</v>
      </c>
      <c r="F613" s="8">
        <v>711</v>
      </c>
      <c r="G613" t="s">
        <v>23</v>
      </c>
      <c r="H613" t="s">
        <v>19</v>
      </c>
      <c r="I613">
        <f>F613/E613</f>
        <v>0.19164420485175201</v>
      </c>
      <c r="J613">
        <f>YEAR(Table1[[#This Row],[Order Date]])</f>
        <v>2023</v>
      </c>
      <c r="K613" t="str">
        <f>TEXT(Table1[[#This Row],[Order Date]], "MMM")</f>
        <v>Aug</v>
      </c>
    </row>
    <row r="614" spans="1:11">
      <c r="A614">
        <v>1075</v>
      </c>
      <c r="B614" s="4" t="s">
        <v>238</v>
      </c>
      <c r="C614" t="s">
        <v>12</v>
      </c>
      <c r="D614" t="s">
        <v>13</v>
      </c>
      <c r="E614" s="8">
        <v>3080</v>
      </c>
      <c r="F614" s="8">
        <v>919</v>
      </c>
      <c r="G614" t="s">
        <v>14</v>
      </c>
      <c r="H614" t="s">
        <v>15</v>
      </c>
      <c r="I614">
        <f>F614/E614</f>
        <v>0.29837662337662335</v>
      </c>
      <c r="J614">
        <f>YEAR(Table1[[#This Row],[Order Date]])</f>
        <v>2023</v>
      </c>
      <c r="K614" t="str">
        <f>TEXT(Table1[[#This Row],[Order Date]], "MMM")</f>
        <v>Aug</v>
      </c>
    </row>
    <row r="615" spans="1:11">
      <c r="A615">
        <v>1221</v>
      </c>
      <c r="B615" s="4" t="s">
        <v>238</v>
      </c>
      <c r="C615" t="s">
        <v>29</v>
      </c>
      <c r="D615" t="s">
        <v>25</v>
      </c>
      <c r="E615" s="8">
        <v>2039</v>
      </c>
      <c r="F615" s="8">
        <v>102</v>
      </c>
      <c r="G615" t="s">
        <v>18</v>
      </c>
      <c r="H615" t="s">
        <v>15</v>
      </c>
      <c r="I615">
        <f>F615/E615</f>
        <v>5.002452182442374E-2</v>
      </c>
      <c r="J615">
        <f>YEAR(Table1[[#This Row],[Order Date]])</f>
        <v>2023</v>
      </c>
      <c r="K615" t="str">
        <f>TEXT(Table1[[#This Row],[Order Date]], "MMM")</f>
        <v>Aug</v>
      </c>
    </row>
    <row r="616" spans="1:11">
      <c r="A616">
        <v>1498</v>
      </c>
      <c r="B616" s="4" t="s">
        <v>238</v>
      </c>
      <c r="C616" t="s">
        <v>24</v>
      </c>
      <c r="D616" t="s">
        <v>13</v>
      </c>
      <c r="E616" s="8">
        <v>405</v>
      </c>
      <c r="F616" s="8">
        <v>914</v>
      </c>
      <c r="G616" t="s">
        <v>30</v>
      </c>
      <c r="H616" t="s">
        <v>19</v>
      </c>
      <c r="I616">
        <f>F616/E616</f>
        <v>2.2567901234567902</v>
      </c>
      <c r="J616">
        <f>YEAR(Table1[[#This Row],[Order Date]])</f>
        <v>2023</v>
      </c>
      <c r="K616" t="str">
        <f>TEXT(Table1[[#This Row],[Order Date]], "MMM")</f>
        <v>Aug</v>
      </c>
    </row>
    <row r="617" spans="1:11">
      <c r="A617">
        <v>1532</v>
      </c>
      <c r="B617" s="4" t="s">
        <v>238</v>
      </c>
      <c r="C617" t="s">
        <v>24</v>
      </c>
      <c r="D617" t="s">
        <v>22</v>
      </c>
      <c r="E617" s="8">
        <v>3042</v>
      </c>
      <c r="F617" s="8">
        <v>676</v>
      </c>
      <c r="G617" t="s">
        <v>23</v>
      </c>
      <c r="H617" t="s">
        <v>15</v>
      </c>
      <c r="I617">
        <f>F617/E617</f>
        <v>0.22222222222222221</v>
      </c>
      <c r="J617">
        <f>YEAR(Table1[[#This Row],[Order Date]])</f>
        <v>2023</v>
      </c>
      <c r="K617" t="str">
        <f>TEXT(Table1[[#This Row],[Order Date]], "MMM")</f>
        <v>Aug</v>
      </c>
    </row>
    <row r="618" spans="1:11">
      <c r="A618">
        <v>1214</v>
      </c>
      <c r="B618" s="4" t="s">
        <v>239</v>
      </c>
      <c r="C618" t="s">
        <v>21</v>
      </c>
      <c r="D618" t="s">
        <v>25</v>
      </c>
      <c r="E618" s="8">
        <v>3239</v>
      </c>
      <c r="F618" s="8">
        <v>292</v>
      </c>
      <c r="G618" t="s">
        <v>14</v>
      </c>
      <c r="H618" t="s">
        <v>15</v>
      </c>
      <c r="I618">
        <f>F618/E618</f>
        <v>9.0151281259648039E-2</v>
      </c>
      <c r="J618">
        <f>YEAR(Table1[[#This Row],[Order Date]])</f>
        <v>2023</v>
      </c>
      <c r="K618" t="str">
        <f>TEXT(Table1[[#This Row],[Order Date]], "MMM")</f>
        <v>Aug</v>
      </c>
    </row>
    <row r="619" spans="1:11">
      <c r="A619">
        <v>1232</v>
      </c>
      <c r="B619" s="4" t="s">
        <v>239</v>
      </c>
      <c r="C619" t="s">
        <v>29</v>
      </c>
      <c r="D619" t="s">
        <v>25</v>
      </c>
      <c r="E619" s="8">
        <v>2599</v>
      </c>
      <c r="F619" s="8">
        <v>958</v>
      </c>
      <c r="G619" t="s">
        <v>14</v>
      </c>
      <c r="H619" t="s">
        <v>19</v>
      </c>
      <c r="I619">
        <f>F619/E619</f>
        <v>0.36860330896498655</v>
      </c>
      <c r="J619">
        <f>YEAR(Table1[[#This Row],[Order Date]])</f>
        <v>2023</v>
      </c>
      <c r="K619" t="str">
        <f>TEXT(Table1[[#This Row],[Order Date]], "MMM")</f>
        <v>Aug</v>
      </c>
    </row>
    <row r="620" spans="1:11">
      <c r="A620">
        <v>1676</v>
      </c>
      <c r="B620" s="4" t="s">
        <v>239</v>
      </c>
      <c r="C620" t="s">
        <v>24</v>
      </c>
      <c r="D620" t="s">
        <v>13</v>
      </c>
      <c r="E620" s="8">
        <v>2140</v>
      </c>
      <c r="F620" s="8">
        <v>720</v>
      </c>
      <c r="G620" t="s">
        <v>23</v>
      </c>
      <c r="H620" t="s">
        <v>15</v>
      </c>
      <c r="I620">
        <f>F620/E620</f>
        <v>0.3364485981308411</v>
      </c>
      <c r="J620">
        <f>YEAR(Table1[[#This Row],[Order Date]])</f>
        <v>2023</v>
      </c>
      <c r="K620" t="str">
        <f>TEXT(Table1[[#This Row],[Order Date]], "MMM")</f>
        <v>Aug</v>
      </c>
    </row>
    <row r="621" spans="1:11">
      <c r="A621">
        <v>1090</v>
      </c>
      <c r="B621" s="4" t="s">
        <v>240</v>
      </c>
      <c r="C621" t="s">
        <v>29</v>
      </c>
      <c r="D621" t="s">
        <v>22</v>
      </c>
      <c r="E621" s="8">
        <v>1112</v>
      </c>
      <c r="F621" s="8">
        <v>881</v>
      </c>
      <c r="G621" t="s">
        <v>14</v>
      </c>
      <c r="H621" t="s">
        <v>19</v>
      </c>
      <c r="I621">
        <f>F621/E621</f>
        <v>0.79226618705035967</v>
      </c>
      <c r="J621">
        <f>YEAR(Table1[[#This Row],[Order Date]])</f>
        <v>2023</v>
      </c>
      <c r="K621" t="str">
        <f>TEXT(Table1[[#This Row],[Order Date]], "MMM")</f>
        <v>Aug</v>
      </c>
    </row>
    <row r="622" spans="1:11">
      <c r="A622">
        <v>1145</v>
      </c>
      <c r="B622" s="4" t="s">
        <v>240</v>
      </c>
      <c r="C622" t="s">
        <v>12</v>
      </c>
      <c r="D622" t="s">
        <v>25</v>
      </c>
      <c r="E622" s="8">
        <v>3662</v>
      </c>
      <c r="F622" s="8">
        <v>310</v>
      </c>
      <c r="G622" t="s">
        <v>14</v>
      </c>
      <c r="H622" t="s">
        <v>19</v>
      </c>
      <c r="I622">
        <f>F622/E622</f>
        <v>8.4653194975423271E-2</v>
      </c>
      <c r="J622">
        <f>YEAR(Table1[[#This Row],[Order Date]])</f>
        <v>2023</v>
      </c>
      <c r="K622" t="str">
        <f>TEXT(Table1[[#This Row],[Order Date]], "MMM")</f>
        <v>Aug</v>
      </c>
    </row>
    <row r="623" spans="1:11">
      <c r="A623">
        <v>1912</v>
      </c>
      <c r="B623" s="4" t="s">
        <v>240</v>
      </c>
      <c r="C623" t="s">
        <v>17</v>
      </c>
      <c r="D623" t="s">
        <v>13</v>
      </c>
      <c r="E623" s="8">
        <v>844</v>
      </c>
      <c r="F623" s="8">
        <v>470</v>
      </c>
      <c r="G623" t="s">
        <v>14</v>
      </c>
      <c r="H623" t="s">
        <v>19</v>
      </c>
      <c r="I623">
        <f>F623/E623</f>
        <v>0.55687203791469198</v>
      </c>
      <c r="J623">
        <f>YEAR(Table1[[#This Row],[Order Date]])</f>
        <v>2023</v>
      </c>
      <c r="K623" t="str">
        <f>TEXT(Table1[[#This Row],[Order Date]], "MMM")</f>
        <v>Aug</v>
      </c>
    </row>
    <row r="624" spans="1:11">
      <c r="A624">
        <v>1312</v>
      </c>
      <c r="B624" s="4" t="s">
        <v>241</v>
      </c>
      <c r="C624" t="s">
        <v>24</v>
      </c>
      <c r="D624" t="s">
        <v>13</v>
      </c>
      <c r="E624" s="8">
        <v>3642</v>
      </c>
      <c r="F624" s="8">
        <v>327</v>
      </c>
      <c r="G624" t="s">
        <v>23</v>
      </c>
      <c r="H624" t="s">
        <v>15</v>
      </c>
      <c r="I624">
        <f>F624/E624</f>
        <v>8.978583196046129E-2</v>
      </c>
      <c r="J624">
        <f>YEAR(Table1[[#This Row],[Order Date]])</f>
        <v>2023</v>
      </c>
      <c r="K624" t="str">
        <f>TEXT(Table1[[#This Row],[Order Date]], "MMM")</f>
        <v>Aug</v>
      </c>
    </row>
    <row r="625" spans="1:11">
      <c r="A625">
        <v>1889</v>
      </c>
      <c r="B625" s="4" t="s">
        <v>241</v>
      </c>
      <c r="C625" t="s">
        <v>12</v>
      </c>
      <c r="D625" t="s">
        <v>22</v>
      </c>
      <c r="E625" s="8">
        <v>119</v>
      </c>
      <c r="F625" s="8">
        <v>966</v>
      </c>
      <c r="G625" t="s">
        <v>30</v>
      </c>
      <c r="H625" t="s">
        <v>19</v>
      </c>
      <c r="I625">
        <f>F625/E625</f>
        <v>8.117647058823529</v>
      </c>
      <c r="J625">
        <f>YEAR(Table1[[#This Row],[Order Date]])</f>
        <v>2023</v>
      </c>
      <c r="K625" t="str">
        <f>TEXT(Table1[[#This Row],[Order Date]], "MMM")</f>
        <v>Aug</v>
      </c>
    </row>
    <row r="626" spans="1:11">
      <c r="A626">
        <v>1933</v>
      </c>
      <c r="B626" s="4" t="s">
        <v>241</v>
      </c>
      <c r="C626" t="s">
        <v>17</v>
      </c>
      <c r="D626" t="s">
        <v>22</v>
      </c>
      <c r="E626" s="8">
        <v>449</v>
      </c>
      <c r="F626" s="8">
        <v>101</v>
      </c>
      <c r="G626" t="s">
        <v>14</v>
      </c>
      <c r="H626" t="s">
        <v>15</v>
      </c>
      <c r="I626">
        <f>F626/E626</f>
        <v>0.22494432071269488</v>
      </c>
      <c r="J626">
        <f>YEAR(Table1[[#This Row],[Order Date]])</f>
        <v>2023</v>
      </c>
      <c r="K626" t="str">
        <f>TEXT(Table1[[#This Row],[Order Date]], "MMM")</f>
        <v>Aug</v>
      </c>
    </row>
    <row r="627" spans="1:11">
      <c r="A627">
        <v>1300</v>
      </c>
      <c r="B627" s="4" t="s">
        <v>242</v>
      </c>
      <c r="C627" t="s">
        <v>27</v>
      </c>
      <c r="D627" t="s">
        <v>25</v>
      </c>
      <c r="E627" s="8">
        <v>3986</v>
      </c>
      <c r="F627" s="8">
        <v>240</v>
      </c>
      <c r="G627" t="s">
        <v>14</v>
      </c>
      <c r="H627" t="s">
        <v>19</v>
      </c>
      <c r="I627">
        <f>F627/E627</f>
        <v>6.0210737581535376E-2</v>
      </c>
      <c r="J627">
        <f>YEAR(Table1[[#This Row],[Order Date]])</f>
        <v>2023</v>
      </c>
      <c r="K627" t="str">
        <f>TEXT(Table1[[#This Row],[Order Date]], "MMM")</f>
        <v>Aug</v>
      </c>
    </row>
    <row r="628" spans="1:11">
      <c r="A628">
        <v>1314</v>
      </c>
      <c r="B628" s="4" t="s">
        <v>242</v>
      </c>
      <c r="C628" t="s">
        <v>27</v>
      </c>
      <c r="D628" t="s">
        <v>13</v>
      </c>
      <c r="E628" s="8">
        <v>2037</v>
      </c>
      <c r="F628" s="8">
        <v>457</v>
      </c>
      <c r="G628" t="s">
        <v>30</v>
      </c>
      <c r="H628" t="s">
        <v>19</v>
      </c>
      <c r="I628">
        <f>F628/E628</f>
        <v>0.22434953362788415</v>
      </c>
      <c r="J628">
        <f>YEAR(Table1[[#This Row],[Order Date]])</f>
        <v>2023</v>
      </c>
      <c r="K628" t="str">
        <f>TEXT(Table1[[#This Row],[Order Date]], "MMM")</f>
        <v>Aug</v>
      </c>
    </row>
    <row r="629" spans="1:11">
      <c r="A629">
        <v>1444</v>
      </c>
      <c r="B629" s="4" t="s">
        <v>242</v>
      </c>
      <c r="C629" t="s">
        <v>29</v>
      </c>
      <c r="D629" t="s">
        <v>22</v>
      </c>
      <c r="E629" s="8">
        <v>1377</v>
      </c>
      <c r="F629" s="8">
        <v>470</v>
      </c>
      <c r="G629" t="s">
        <v>30</v>
      </c>
      <c r="H629" t="s">
        <v>15</v>
      </c>
      <c r="I629">
        <f>F629/E629</f>
        <v>0.34132171387073346</v>
      </c>
      <c r="J629">
        <f>YEAR(Table1[[#This Row],[Order Date]])</f>
        <v>2023</v>
      </c>
      <c r="K629" t="str">
        <f>TEXT(Table1[[#This Row],[Order Date]], "MMM")</f>
        <v>Aug</v>
      </c>
    </row>
    <row r="630" spans="1:11">
      <c r="A630">
        <v>1636</v>
      </c>
      <c r="B630" s="4" t="s">
        <v>242</v>
      </c>
      <c r="C630" t="s">
        <v>12</v>
      </c>
      <c r="D630" t="s">
        <v>13</v>
      </c>
      <c r="E630" s="8">
        <v>4213</v>
      </c>
      <c r="F630" s="8">
        <v>717</v>
      </c>
      <c r="G630" t="s">
        <v>23</v>
      </c>
      <c r="H630" t="s">
        <v>15</v>
      </c>
      <c r="I630">
        <f>F630/E630</f>
        <v>0.17018751483503441</v>
      </c>
      <c r="J630">
        <f>YEAR(Table1[[#This Row],[Order Date]])</f>
        <v>2023</v>
      </c>
      <c r="K630" t="str">
        <f>TEXT(Table1[[#This Row],[Order Date]], "MMM")</f>
        <v>Aug</v>
      </c>
    </row>
    <row r="631" spans="1:11">
      <c r="A631">
        <v>1646</v>
      </c>
      <c r="B631" s="4" t="s">
        <v>242</v>
      </c>
      <c r="C631" t="s">
        <v>17</v>
      </c>
      <c r="D631" t="s">
        <v>25</v>
      </c>
      <c r="E631" s="8">
        <v>1668</v>
      </c>
      <c r="F631" s="8">
        <v>20</v>
      </c>
      <c r="G631" t="s">
        <v>23</v>
      </c>
      <c r="H631" t="s">
        <v>19</v>
      </c>
      <c r="I631">
        <f>F631/E631</f>
        <v>1.1990407673860911E-2</v>
      </c>
      <c r="J631">
        <f>YEAR(Table1[[#This Row],[Order Date]])</f>
        <v>2023</v>
      </c>
      <c r="K631" t="str">
        <f>TEXT(Table1[[#This Row],[Order Date]], "MMM")</f>
        <v>Aug</v>
      </c>
    </row>
    <row r="632" spans="1:11">
      <c r="A632">
        <v>1031</v>
      </c>
      <c r="B632" s="4" t="s">
        <v>243</v>
      </c>
      <c r="C632" t="s">
        <v>17</v>
      </c>
      <c r="D632" t="s">
        <v>22</v>
      </c>
      <c r="E632" s="8">
        <v>2330</v>
      </c>
      <c r="F632" s="8">
        <v>365</v>
      </c>
      <c r="G632" t="s">
        <v>23</v>
      </c>
      <c r="H632" t="s">
        <v>19</v>
      </c>
      <c r="I632">
        <f>F632/E632</f>
        <v>0.15665236051502146</v>
      </c>
      <c r="J632">
        <f>YEAR(Table1[[#This Row],[Order Date]])</f>
        <v>2023</v>
      </c>
      <c r="K632" t="str">
        <f>TEXT(Table1[[#This Row],[Order Date]], "MMM")</f>
        <v>Aug</v>
      </c>
    </row>
    <row r="633" spans="1:11">
      <c r="A633">
        <v>1165</v>
      </c>
      <c r="B633" s="4" t="s">
        <v>243</v>
      </c>
      <c r="C633" t="s">
        <v>21</v>
      </c>
      <c r="D633" t="s">
        <v>22</v>
      </c>
      <c r="E633" s="8">
        <v>2711</v>
      </c>
      <c r="F633" s="8">
        <v>342</v>
      </c>
      <c r="G633" t="s">
        <v>18</v>
      </c>
      <c r="H633" t="s">
        <v>19</v>
      </c>
      <c r="I633">
        <f>F633/E633</f>
        <v>0.12615271117668758</v>
      </c>
      <c r="J633">
        <f>YEAR(Table1[[#This Row],[Order Date]])</f>
        <v>2023</v>
      </c>
      <c r="K633" t="str">
        <f>TEXT(Table1[[#This Row],[Order Date]], "MMM")</f>
        <v>Aug</v>
      </c>
    </row>
    <row r="634" spans="1:11">
      <c r="A634">
        <v>1393</v>
      </c>
      <c r="B634" s="4" t="s">
        <v>243</v>
      </c>
      <c r="C634" t="s">
        <v>21</v>
      </c>
      <c r="D634" t="s">
        <v>25</v>
      </c>
      <c r="E634" s="8">
        <v>2616</v>
      </c>
      <c r="F634" s="8">
        <v>137</v>
      </c>
      <c r="G634" t="s">
        <v>23</v>
      </c>
      <c r="H634" t="s">
        <v>19</v>
      </c>
      <c r="I634">
        <f>F634/E634</f>
        <v>5.2370030581039756E-2</v>
      </c>
      <c r="J634">
        <f>YEAR(Table1[[#This Row],[Order Date]])</f>
        <v>2023</v>
      </c>
      <c r="K634" t="str">
        <f>TEXT(Table1[[#This Row],[Order Date]], "MMM")</f>
        <v>Aug</v>
      </c>
    </row>
    <row r="635" spans="1:11">
      <c r="A635">
        <v>1454</v>
      </c>
      <c r="B635" s="4" t="s">
        <v>243</v>
      </c>
      <c r="C635" t="s">
        <v>24</v>
      </c>
      <c r="D635" t="s">
        <v>13</v>
      </c>
      <c r="E635" s="8">
        <v>520</v>
      </c>
      <c r="F635" s="8">
        <v>916</v>
      </c>
      <c r="G635" t="s">
        <v>30</v>
      </c>
      <c r="H635" t="s">
        <v>19</v>
      </c>
      <c r="I635">
        <f>F635/E635</f>
        <v>1.7615384615384615</v>
      </c>
      <c r="J635">
        <f>YEAR(Table1[[#This Row],[Order Date]])</f>
        <v>2023</v>
      </c>
      <c r="K635" t="str">
        <f>TEXT(Table1[[#This Row],[Order Date]], "MMM")</f>
        <v>Aug</v>
      </c>
    </row>
    <row r="636" spans="1:11">
      <c r="A636">
        <v>1631</v>
      </c>
      <c r="B636" s="4" t="s">
        <v>243</v>
      </c>
      <c r="C636" t="s">
        <v>28</v>
      </c>
      <c r="D636" t="s">
        <v>22</v>
      </c>
      <c r="E636" s="8">
        <v>4680</v>
      </c>
      <c r="F636" s="8">
        <v>907</v>
      </c>
      <c r="G636" t="s">
        <v>14</v>
      </c>
      <c r="H636" t="s">
        <v>15</v>
      </c>
      <c r="I636">
        <f>F636/E636</f>
        <v>0.19380341880341881</v>
      </c>
      <c r="J636">
        <f>YEAR(Table1[[#This Row],[Order Date]])</f>
        <v>2023</v>
      </c>
      <c r="K636" t="str">
        <f>TEXT(Table1[[#This Row],[Order Date]], "MMM")</f>
        <v>Aug</v>
      </c>
    </row>
    <row r="637" spans="1:11">
      <c r="A637">
        <v>1744</v>
      </c>
      <c r="B637" s="4" t="s">
        <v>243</v>
      </c>
      <c r="C637" t="s">
        <v>28</v>
      </c>
      <c r="D637" t="s">
        <v>13</v>
      </c>
      <c r="E637" s="8">
        <v>3731</v>
      </c>
      <c r="F637" s="8">
        <v>95</v>
      </c>
      <c r="G637" t="s">
        <v>18</v>
      </c>
      <c r="H637" t="s">
        <v>19</v>
      </c>
      <c r="I637">
        <f>F637/E637</f>
        <v>2.5462342535513268E-2</v>
      </c>
      <c r="J637">
        <f>YEAR(Table1[[#This Row],[Order Date]])</f>
        <v>2023</v>
      </c>
      <c r="K637" t="str">
        <f>TEXT(Table1[[#This Row],[Order Date]], "MMM")</f>
        <v>Aug</v>
      </c>
    </row>
    <row r="638" spans="1:11">
      <c r="A638">
        <v>1819</v>
      </c>
      <c r="B638" s="4" t="s">
        <v>243</v>
      </c>
      <c r="C638" t="s">
        <v>21</v>
      </c>
      <c r="D638" t="s">
        <v>13</v>
      </c>
      <c r="E638" s="8">
        <v>2594</v>
      </c>
      <c r="F638" s="8">
        <v>507</v>
      </c>
      <c r="G638" t="s">
        <v>30</v>
      </c>
      <c r="H638" t="s">
        <v>19</v>
      </c>
      <c r="I638">
        <f>F638/E638</f>
        <v>0.19545104086353124</v>
      </c>
      <c r="J638">
        <f>YEAR(Table1[[#This Row],[Order Date]])</f>
        <v>2023</v>
      </c>
      <c r="K638" t="str">
        <f>TEXT(Table1[[#This Row],[Order Date]], "MMM")</f>
        <v>Aug</v>
      </c>
    </row>
    <row r="639" spans="1:11">
      <c r="A639">
        <v>1068</v>
      </c>
      <c r="B639" s="4" t="s">
        <v>244</v>
      </c>
      <c r="C639" t="s">
        <v>24</v>
      </c>
      <c r="D639" t="s">
        <v>22</v>
      </c>
      <c r="E639" s="8">
        <v>676</v>
      </c>
      <c r="F639" s="8">
        <v>807</v>
      </c>
      <c r="G639" t="s">
        <v>23</v>
      </c>
      <c r="H639" t="s">
        <v>19</v>
      </c>
      <c r="I639">
        <f>F639/E639</f>
        <v>1.1937869822485208</v>
      </c>
      <c r="J639">
        <f>YEAR(Table1[[#This Row],[Order Date]])</f>
        <v>2023</v>
      </c>
      <c r="K639" t="str">
        <f>TEXT(Table1[[#This Row],[Order Date]], "MMM")</f>
        <v>Aug</v>
      </c>
    </row>
    <row r="640" spans="1:11">
      <c r="A640">
        <v>1104</v>
      </c>
      <c r="B640" s="4" t="s">
        <v>244</v>
      </c>
      <c r="C640" t="s">
        <v>24</v>
      </c>
      <c r="D640" t="s">
        <v>25</v>
      </c>
      <c r="E640" s="8">
        <v>3458</v>
      </c>
      <c r="F640" s="8">
        <v>290</v>
      </c>
      <c r="G640" t="s">
        <v>18</v>
      </c>
      <c r="H640" t="s">
        <v>15</v>
      </c>
      <c r="I640">
        <f>F640/E640</f>
        <v>8.3863504916136491E-2</v>
      </c>
      <c r="J640">
        <f>YEAR(Table1[[#This Row],[Order Date]])</f>
        <v>2023</v>
      </c>
      <c r="K640" t="str">
        <f>TEXT(Table1[[#This Row],[Order Date]], "MMM")</f>
        <v>Aug</v>
      </c>
    </row>
    <row r="641" spans="1:11">
      <c r="A641">
        <v>1555</v>
      </c>
      <c r="B641" s="4" t="s">
        <v>244</v>
      </c>
      <c r="C641" t="s">
        <v>17</v>
      </c>
      <c r="D641" t="s">
        <v>25</v>
      </c>
      <c r="E641" s="8">
        <v>2485</v>
      </c>
      <c r="F641" s="8">
        <v>146</v>
      </c>
      <c r="G641" t="s">
        <v>18</v>
      </c>
      <c r="H641" t="s">
        <v>19</v>
      </c>
      <c r="I641">
        <f>F641/E641</f>
        <v>5.8752515090543259E-2</v>
      </c>
      <c r="J641">
        <f>YEAR(Table1[[#This Row],[Order Date]])</f>
        <v>2023</v>
      </c>
      <c r="K641" t="str">
        <f>TEXT(Table1[[#This Row],[Order Date]], "MMM")</f>
        <v>Aug</v>
      </c>
    </row>
    <row r="642" spans="1:11">
      <c r="A642">
        <v>1921</v>
      </c>
      <c r="B642" s="4" t="s">
        <v>244</v>
      </c>
      <c r="C642" t="s">
        <v>27</v>
      </c>
      <c r="D642" t="s">
        <v>25</v>
      </c>
      <c r="E642" s="8">
        <v>4508</v>
      </c>
      <c r="F642" s="8">
        <v>328</v>
      </c>
      <c r="G642" t="s">
        <v>30</v>
      </c>
      <c r="H642" t="s">
        <v>15</v>
      </c>
      <c r="I642">
        <f>F642/E642</f>
        <v>7.2759538598047915E-2</v>
      </c>
      <c r="J642">
        <f>YEAR(Table1[[#This Row],[Order Date]])</f>
        <v>2023</v>
      </c>
      <c r="K642" t="str">
        <f>TEXT(Table1[[#This Row],[Order Date]], "MMM")</f>
        <v>Aug</v>
      </c>
    </row>
    <row r="643" spans="1:11">
      <c r="A643">
        <v>1567</v>
      </c>
      <c r="B643" s="4" t="s">
        <v>245</v>
      </c>
      <c r="C643" t="s">
        <v>29</v>
      </c>
      <c r="D643" t="s">
        <v>25</v>
      </c>
      <c r="E643" s="8">
        <v>455</v>
      </c>
      <c r="F643" s="8">
        <v>650</v>
      </c>
      <c r="G643" t="s">
        <v>23</v>
      </c>
      <c r="H643" t="s">
        <v>15</v>
      </c>
      <c r="I643">
        <f>F643/E643</f>
        <v>1.4285714285714286</v>
      </c>
      <c r="J643">
        <f>YEAR(Table1[[#This Row],[Order Date]])</f>
        <v>2023</v>
      </c>
      <c r="K643" t="str">
        <f>TEXT(Table1[[#This Row],[Order Date]], "MMM")</f>
        <v>Aug</v>
      </c>
    </row>
    <row r="644" spans="1:11">
      <c r="A644">
        <v>1813</v>
      </c>
      <c r="B644" s="4" t="s">
        <v>245</v>
      </c>
      <c r="C644" t="s">
        <v>21</v>
      </c>
      <c r="D644" t="s">
        <v>22</v>
      </c>
      <c r="E644" s="8">
        <v>3293</v>
      </c>
      <c r="F644" s="8">
        <v>724</v>
      </c>
      <c r="G644" t="s">
        <v>23</v>
      </c>
      <c r="H644" t="s">
        <v>15</v>
      </c>
      <c r="I644">
        <f>F644/E644</f>
        <v>0.21986030974795021</v>
      </c>
      <c r="J644">
        <f>YEAR(Table1[[#This Row],[Order Date]])</f>
        <v>2023</v>
      </c>
      <c r="K644" t="str">
        <f>TEXT(Table1[[#This Row],[Order Date]], "MMM")</f>
        <v>Aug</v>
      </c>
    </row>
    <row r="645" spans="1:11">
      <c r="A645">
        <v>1077</v>
      </c>
      <c r="B645" s="4" t="s">
        <v>246</v>
      </c>
      <c r="C645" t="s">
        <v>12</v>
      </c>
      <c r="D645" t="s">
        <v>22</v>
      </c>
      <c r="E645" s="8">
        <v>4784</v>
      </c>
      <c r="F645" s="8">
        <v>612</v>
      </c>
      <c r="G645" t="s">
        <v>30</v>
      </c>
      <c r="H645" t="s">
        <v>15</v>
      </c>
      <c r="I645">
        <f>F645/E645</f>
        <v>0.12792642140468227</v>
      </c>
      <c r="J645">
        <f>YEAR(Table1[[#This Row],[Order Date]])</f>
        <v>2023</v>
      </c>
      <c r="K645" t="str">
        <f>TEXT(Table1[[#This Row],[Order Date]], "MMM")</f>
        <v>Aug</v>
      </c>
    </row>
    <row r="646" spans="1:11">
      <c r="A646">
        <v>1146</v>
      </c>
      <c r="B646" s="4" t="s">
        <v>246</v>
      </c>
      <c r="C646" t="s">
        <v>24</v>
      </c>
      <c r="D646" t="s">
        <v>22</v>
      </c>
      <c r="E646" s="8">
        <v>4077</v>
      </c>
      <c r="F646" s="8">
        <v>787</v>
      </c>
      <c r="G646" t="s">
        <v>30</v>
      </c>
      <c r="H646" t="s">
        <v>19</v>
      </c>
      <c r="I646">
        <f>F646/E646</f>
        <v>0.19303409369634536</v>
      </c>
      <c r="J646">
        <f>YEAR(Table1[[#This Row],[Order Date]])</f>
        <v>2023</v>
      </c>
      <c r="K646" t="str">
        <f>TEXT(Table1[[#This Row],[Order Date]], "MMM")</f>
        <v>Aug</v>
      </c>
    </row>
    <row r="647" spans="1:11">
      <c r="A647">
        <v>1468</v>
      </c>
      <c r="B647" s="4" t="s">
        <v>246</v>
      </c>
      <c r="C647" t="s">
        <v>12</v>
      </c>
      <c r="D647" t="s">
        <v>22</v>
      </c>
      <c r="E647" s="8">
        <v>657</v>
      </c>
      <c r="F647" s="8">
        <v>865</v>
      </c>
      <c r="G647" t="s">
        <v>23</v>
      </c>
      <c r="H647" t="s">
        <v>15</v>
      </c>
      <c r="I647">
        <f>F647/E647</f>
        <v>1.3165905631659056</v>
      </c>
      <c r="J647">
        <f>YEAR(Table1[[#This Row],[Order Date]])</f>
        <v>2023</v>
      </c>
      <c r="K647" t="str">
        <f>TEXT(Table1[[#This Row],[Order Date]], "MMM")</f>
        <v>Aug</v>
      </c>
    </row>
    <row r="648" spans="1:11">
      <c r="A648">
        <v>1887</v>
      </c>
      <c r="B648" s="4" t="s">
        <v>246</v>
      </c>
      <c r="C648" t="s">
        <v>24</v>
      </c>
      <c r="D648" t="s">
        <v>25</v>
      </c>
      <c r="E648" s="8">
        <v>2693</v>
      </c>
      <c r="F648" s="8">
        <v>293</v>
      </c>
      <c r="G648" t="s">
        <v>30</v>
      </c>
      <c r="H648" t="s">
        <v>19</v>
      </c>
      <c r="I648">
        <f>F648/E648</f>
        <v>0.10880059413293725</v>
      </c>
      <c r="J648">
        <f>YEAR(Table1[[#This Row],[Order Date]])</f>
        <v>2023</v>
      </c>
      <c r="K648" t="str">
        <f>TEXT(Table1[[#This Row],[Order Date]], "MMM")</f>
        <v>Aug</v>
      </c>
    </row>
    <row r="649" spans="1:11">
      <c r="A649">
        <v>1046</v>
      </c>
      <c r="B649" s="4" t="s">
        <v>247</v>
      </c>
      <c r="C649" t="s">
        <v>27</v>
      </c>
      <c r="D649" t="s">
        <v>22</v>
      </c>
      <c r="E649" s="8">
        <v>4351</v>
      </c>
      <c r="F649" s="8">
        <v>20</v>
      </c>
      <c r="G649" t="s">
        <v>18</v>
      </c>
      <c r="H649" t="s">
        <v>15</v>
      </c>
      <c r="I649">
        <f>F649/E649</f>
        <v>4.5966444495518267E-3</v>
      </c>
      <c r="J649">
        <f>YEAR(Table1[[#This Row],[Order Date]])</f>
        <v>2023</v>
      </c>
      <c r="K649" t="str">
        <f>TEXT(Table1[[#This Row],[Order Date]], "MMM")</f>
        <v>Aug</v>
      </c>
    </row>
    <row r="650" spans="1:11">
      <c r="A650">
        <v>1588</v>
      </c>
      <c r="B650" s="4" t="s">
        <v>247</v>
      </c>
      <c r="C650" t="s">
        <v>21</v>
      </c>
      <c r="D650" t="s">
        <v>13</v>
      </c>
      <c r="E650" s="8">
        <v>3165</v>
      </c>
      <c r="F650" s="8">
        <v>923</v>
      </c>
      <c r="G650" t="s">
        <v>30</v>
      </c>
      <c r="H650" t="s">
        <v>19</v>
      </c>
      <c r="I650">
        <f>F650/E650</f>
        <v>0.29162717219589257</v>
      </c>
      <c r="J650">
        <f>YEAR(Table1[[#This Row],[Order Date]])</f>
        <v>2023</v>
      </c>
      <c r="K650" t="str">
        <f>TEXT(Table1[[#This Row],[Order Date]], "MMM")</f>
        <v>Aug</v>
      </c>
    </row>
    <row r="651" spans="1:11">
      <c r="A651">
        <v>1746</v>
      </c>
      <c r="B651" s="4" t="s">
        <v>247</v>
      </c>
      <c r="C651" t="s">
        <v>28</v>
      </c>
      <c r="D651" t="s">
        <v>22</v>
      </c>
      <c r="E651" s="8">
        <v>2684</v>
      </c>
      <c r="F651" s="8">
        <v>865</v>
      </c>
      <c r="G651" t="s">
        <v>23</v>
      </c>
      <c r="H651" t="s">
        <v>19</v>
      </c>
      <c r="I651">
        <f>F651/E651</f>
        <v>0.32228017883755589</v>
      </c>
      <c r="J651">
        <f>YEAR(Table1[[#This Row],[Order Date]])</f>
        <v>2023</v>
      </c>
      <c r="K651" t="str">
        <f>TEXT(Table1[[#This Row],[Order Date]], "MMM")</f>
        <v>Aug</v>
      </c>
    </row>
    <row r="652" spans="1:11">
      <c r="A652">
        <v>1892</v>
      </c>
      <c r="B652" s="4" t="s">
        <v>247</v>
      </c>
      <c r="C652" t="s">
        <v>29</v>
      </c>
      <c r="D652" t="s">
        <v>13</v>
      </c>
      <c r="E652" s="8">
        <v>3913</v>
      </c>
      <c r="F652" s="8">
        <v>771</v>
      </c>
      <c r="G652" t="s">
        <v>23</v>
      </c>
      <c r="H652" t="s">
        <v>19</v>
      </c>
      <c r="I652">
        <f>F652/E652</f>
        <v>0.19703552261691795</v>
      </c>
      <c r="J652">
        <f>YEAR(Table1[[#This Row],[Order Date]])</f>
        <v>2023</v>
      </c>
      <c r="K652" t="str">
        <f>TEXT(Table1[[#This Row],[Order Date]], "MMM")</f>
        <v>Aug</v>
      </c>
    </row>
    <row r="653" spans="1:11">
      <c r="A653">
        <v>1877</v>
      </c>
      <c r="B653" s="4" t="s">
        <v>248</v>
      </c>
      <c r="C653" t="s">
        <v>17</v>
      </c>
      <c r="D653" t="s">
        <v>13</v>
      </c>
      <c r="E653" s="8">
        <v>2867</v>
      </c>
      <c r="F653" s="8">
        <v>61</v>
      </c>
      <c r="G653" t="s">
        <v>30</v>
      </c>
      <c r="H653" t="s">
        <v>15</v>
      </c>
      <c r="I653">
        <f>F653/E653</f>
        <v>2.1276595744680851E-2</v>
      </c>
      <c r="J653">
        <f>YEAR(Table1[[#This Row],[Order Date]])</f>
        <v>2023</v>
      </c>
      <c r="K653" t="str">
        <f>TEXT(Table1[[#This Row],[Order Date]], "MMM")</f>
        <v>Aug</v>
      </c>
    </row>
    <row r="654" spans="1:11">
      <c r="A654">
        <v>1045</v>
      </c>
      <c r="B654" s="4" t="s">
        <v>249</v>
      </c>
      <c r="C654" t="s">
        <v>27</v>
      </c>
      <c r="D654" t="s">
        <v>22</v>
      </c>
      <c r="E654" s="8">
        <v>360</v>
      </c>
      <c r="F654" s="8">
        <v>73</v>
      </c>
      <c r="G654" t="s">
        <v>18</v>
      </c>
      <c r="H654" t="s">
        <v>15</v>
      </c>
      <c r="I654">
        <f>F654/E654</f>
        <v>0.20277777777777778</v>
      </c>
      <c r="J654">
        <f>YEAR(Table1[[#This Row],[Order Date]])</f>
        <v>2023</v>
      </c>
      <c r="K654" t="str">
        <f>TEXT(Table1[[#This Row],[Order Date]], "MMM")</f>
        <v>Aug</v>
      </c>
    </row>
    <row r="655" spans="1:11">
      <c r="A655">
        <v>1266</v>
      </c>
      <c r="B655" s="4" t="s">
        <v>249</v>
      </c>
      <c r="C655" t="s">
        <v>28</v>
      </c>
      <c r="D655" t="s">
        <v>13</v>
      </c>
      <c r="E655" s="8">
        <v>3146</v>
      </c>
      <c r="F655" s="8">
        <v>573</v>
      </c>
      <c r="G655" t="s">
        <v>30</v>
      </c>
      <c r="H655" t="s">
        <v>19</v>
      </c>
      <c r="I655">
        <f>F655/E655</f>
        <v>0.18213604577240941</v>
      </c>
      <c r="J655">
        <f>YEAR(Table1[[#This Row],[Order Date]])</f>
        <v>2023</v>
      </c>
      <c r="K655" t="str">
        <f>TEXT(Table1[[#This Row],[Order Date]], "MMM")</f>
        <v>Aug</v>
      </c>
    </row>
    <row r="656" spans="1:11">
      <c r="A656">
        <v>1442</v>
      </c>
      <c r="B656" s="4" t="s">
        <v>249</v>
      </c>
      <c r="C656" t="s">
        <v>12</v>
      </c>
      <c r="D656" t="s">
        <v>22</v>
      </c>
      <c r="E656" s="8">
        <v>552</v>
      </c>
      <c r="F656" s="8">
        <v>957</v>
      </c>
      <c r="G656" t="s">
        <v>23</v>
      </c>
      <c r="H656" t="s">
        <v>15</v>
      </c>
      <c r="I656">
        <f>F656/E656</f>
        <v>1.7336956521739131</v>
      </c>
      <c r="J656">
        <f>YEAR(Table1[[#This Row],[Order Date]])</f>
        <v>2023</v>
      </c>
      <c r="K656" t="str">
        <f>TEXT(Table1[[#This Row],[Order Date]], "MMM")</f>
        <v>Aug</v>
      </c>
    </row>
    <row r="657" spans="1:11">
      <c r="A657">
        <v>1822</v>
      </c>
      <c r="B657" s="4" t="s">
        <v>249</v>
      </c>
      <c r="C657" t="s">
        <v>21</v>
      </c>
      <c r="D657" t="s">
        <v>22</v>
      </c>
      <c r="E657" s="8">
        <v>4839</v>
      </c>
      <c r="F657" s="8">
        <v>396</v>
      </c>
      <c r="G657" t="s">
        <v>23</v>
      </c>
      <c r="H657" t="s">
        <v>15</v>
      </c>
      <c r="I657">
        <f>F657/E657</f>
        <v>8.1835089894606319E-2</v>
      </c>
      <c r="J657">
        <f>YEAR(Table1[[#This Row],[Order Date]])</f>
        <v>2023</v>
      </c>
      <c r="K657" t="str">
        <f>TEXT(Table1[[#This Row],[Order Date]], "MMM")</f>
        <v>Aug</v>
      </c>
    </row>
    <row r="658" spans="1:11">
      <c r="A658">
        <v>1973</v>
      </c>
      <c r="B658" s="4" t="s">
        <v>249</v>
      </c>
      <c r="C658" t="s">
        <v>24</v>
      </c>
      <c r="D658" t="s">
        <v>22</v>
      </c>
      <c r="E658" s="8">
        <v>4418</v>
      </c>
      <c r="F658" s="8">
        <v>772</v>
      </c>
      <c r="G658" t="s">
        <v>23</v>
      </c>
      <c r="H658" t="s">
        <v>19</v>
      </c>
      <c r="I658">
        <f>F658/E658</f>
        <v>0.17473970122227253</v>
      </c>
      <c r="J658">
        <f>YEAR(Table1[[#This Row],[Order Date]])</f>
        <v>2023</v>
      </c>
      <c r="K658" t="str">
        <f>TEXT(Table1[[#This Row],[Order Date]], "MMM")</f>
        <v>Aug</v>
      </c>
    </row>
    <row r="659" spans="1:11">
      <c r="A659">
        <v>1048</v>
      </c>
      <c r="B659" s="4" t="s">
        <v>250</v>
      </c>
      <c r="C659" t="s">
        <v>21</v>
      </c>
      <c r="D659" t="s">
        <v>25</v>
      </c>
      <c r="E659" s="8">
        <v>4078</v>
      </c>
      <c r="F659" s="8">
        <v>776</v>
      </c>
      <c r="G659" t="s">
        <v>18</v>
      </c>
      <c r="H659" t="s">
        <v>15</v>
      </c>
      <c r="I659">
        <f>F659/E659</f>
        <v>0.19028935752820009</v>
      </c>
      <c r="J659">
        <f>YEAR(Table1[[#This Row],[Order Date]])</f>
        <v>2023</v>
      </c>
      <c r="K659" t="str">
        <f>TEXT(Table1[[#This Row],[Order Date]], "MMM")</f>
        <v>Aug</v>
      </c>
    </row>
    <row r="660" spans="1:11">
      <c r="A660">
        <v>1699</v>
      </c>
      <c r="B660" s="4" t="s">
        <v>250</v>
      </c>
      <c r="C660" t="s">
        <v>29</v>
      </c>
      <c r="D660" t="s">
        <v>13</v>
      </c>
      <c r="E660" s="8">
        <v>2298</v>
      </c>
      <c r="F660" s="8">
        <v>978</v>
      </c>
      <c r="G660" t="s">
        <v>14</v>
      </c>
      <c r="H660" t="s">
        <v>19</v>
      </c>
      <c r="I660">
        <f>F660/E660</f>
        <v>0.4255874673629243</v>
      </c>
      <c r="J660">
        <f>YEAR(Table1[[#This Row],[Order Date]])</f>
        <v>2023</v>
      </c>
      <c r="K660" t="str">
        <f>TEXT(Table1[[#This Row],[Order Date]], "MMM")</f>
        <v>Aug</v>
      </c>
    </row>
    <row r="661" spans="1:11">
      <c r="A661">
        <v>1554</v>
      </c>
      <c r="B661" s="4" t="s">
        <v>251</v>
      </c>
      <c r="C661" t="s">
        <v>17</v>
      </c>
      <c r="D661" t="s">
        <v>13</v>
      </c>
      <c r="E661" s="8">
        <v>1328</v>
      </c>
      <c r="F661" s="8">
        <v>298</v>
      </c>
      <c r="G661" t="s">
        <v>30</v>
      </c>
      <c r="H661" t="s">
        <v>15</v>
      </c>
      <c r="I661">
        <f>F661/E661</f>
        <v>0.22439759036144577</v>
      </c>
      <c r="J661">
        <f>YEAR(Table1[[#This Row],[Order Date]])</f>
        <v>2023</v>
      </c>
      <c r="K661" t="str">
        <f>TEXT(Table1[[#This Row],[Order Date]], "MMM")</f>
        <v>Aug</v>
      </c>
    </row>
    <row r="662" spans="1:11">
      <c r="A662">
        <v>1740</v>
      </c>
      <c r="B662" s="4" t="s">
        <v>251</v>
      </c>
      <c r="C662" t="s">
        <v>24</v>
      </c>
      <c r="D662" t="s">
        <v>25</v>
      </c>
      <c r="E662" s="8">
        <v>3114</v>
      </c>
      <c r="F662" s="8">
        <v>840</v>
      </c>
      <c r="G662" t="s">
        <v>14</v>
      </c>
      <c r="H662" t="s">
        <v>19</v>
      </c>
      <c r="I662">
        <f>F662/E662</f>
        <v>0.26974951830443161</v>
      </c>
      <c r="J662">
        <f>YEAR(Table1[[#This Row],[Order Date]])</f>
        <v>2023</v>
      </c>
      <c r="K662" t="str">
        <f>TEXT(Table1[[#This Row],[Order Date]], "MMM")</f>
        <v>Aug</v>
      </c>
    </row>
    <row r="663" spans="1:11">
      <c r="A663">
        <v>1815</v>
      </c>
      <c r="B663" s="4" t="s">
        <v>251</v>
      </c>
      <c r="C663" t="s">
        <v>17</v>
      </c>
      <c r="D663" t="s">
        <v>25</v>
      </c>
      <c r="E663" s="8">
        <v>2274</v>
      </c>
      <c r="F663" s="8">
        <v>429</v>
      </c>
      <c r="G663" t="s">
        <v>14</v>
      </c>
      <c r="H663" t="s">
        <v>19</v>
      </c>
      <c r="I663">
        <f>F663/E663</f>
        <v>0.18865435356200527</v>
      </c>
      <c r="J663">
        <f>YEAR(Table1[[#This Row],[Order Date]])</f>
        <v>2023</v>
      </c>
      <c r="K663" t="str">
        <f>TEXT(Table1[[#This Row],[Order Date]], "MMM")</f>
        <v>Aug</v>
      </c>
    </row>
    <row r="664" spans="1:11">
      <c r="A664">
        <v>1884</v>
      </c>
      <c r="B664" s="4" t="s">
        <v>251</v>
      </c>
      <c r="C664" t="s">
        <v>21</v>
      </c>
      <c r="D664" t="s">
        <v>25</v>
      </c>
      <c r="E664" s="8">
        <v>3094</v>
      </c>
      <c r="F664" s="8">
        <v>235</v>
      </c>
      <c r="G664" t="s">
        <v>18</v>
      </c>
      <c r="H664" t="s">
        <v>15</v>
      </c>
      <c r="I664">
        <f>F664/E664</f>
        <v>7.5953458306399477E-2</v>
      </c>
      <c r="J664">
        <f>YEAR(Table1[[#This Row],[Order Date]])</f>
        <v>2023</v>
      </c>
      <c r="K664" t="str">
        <f>TEXT(Table1[[#This Row],[Order Date]], "MMM")</f>
        <v>Aug</v>
      </c>
    </row>
    <row r="665" spans="1:11">
      <c r="A665">
        <v>1348</v>
      </c>
      <c r="B665" s="4" t="s">
        <v>252</v>
      </c>
      <c r="C665" t="s">
        <v>24</v>
      </c>
      <c r="D665" t="s">
        <v>25</v>
      </c>
      <c r="E665" s="8">
        <v>1093</v>
      </c>
      <c r="F665" s="8">
        <v>961</v>
      </c>
      <c r="G665" t="s">
        <v>14</v>
      </c>
      <c r="H665" t="s">
        <v>15</v>
      </c>
      <c r="I665">
        <f>F665/E665</f>
        <v>0.87923147301006399</v>
      </c>
      <c r="J665">
        <f>YEAR(Table1[[#This Row],[Order Date]])</f>
        <v>2023</v>
      </c>
      <c r="K665" t="str">
        <f>TEXT(Table1[[#This Row],[Order Date]], "MMM")</f>
        <v>Aug</v>
      </c>
    </row>
    <row r="666" spans="1:11">
      <c r="A666">
        <v>1556</v>
      </c>
      <c r="B666" s="4" t="s">
        <v>252</v>
      </c>
      <c r="C666" t="s">
        <v>12</v>
      </c>
      <c r="D666" t="s">
        <v>13</v>
      </c>
      <c r="E666" s="8">
        <v>2248</v>
      </c>
      <c r="F666" s="8">
        <v>260</v>
      </c>
      <c r="G666" t="s">
        <v>30</v>
      </c>
      <c r="H666" t="s">
        <v>15</v>
      </c>
      <c r="I666">
        <f>F666/E666</f>
        <v>0.11565836298932385</v>
      </c>
      <c r="J666">
        <f>YEAR(Table1[[#This Row],[Order Date]])</f>
        <v>2023</v>
      </c>
      <c r="K666" t="str">
        <f>TEXT(Table1[[#This Row],[Order Date]], "MMM")</f>
        <v>Aug</v>
      </c>
    </row>
    <row r="667" spans="1:11">
      <c r="A667">
        <v>1577</v>
      </c>
      <c r="B667" s="4" t="s">
        <v>252</v>
      </c>
      <c r="C667" t="s">
        <v>21</v>
      </c>
      <c r="D667" t="s">
        <v>13</v>
      </c>
      <c r="E667" s="8">
        <v>2155</v>
      </c>
      <c r="F667" s="8">
        <v>624</v>
      </c>
      <c r="G667" t="s">
        <v>30</v>
      </c>
      <c r="H667" t="s">
        <v>15</v>
      </c>
      <c r="I667">
        <f>F667/E667</f>
        <v>0.28955916473317866</v>
      </c>
      <c r="J667">
        <f>YEAR(Table1[[#This Row],[Order Date]])</f>
        <v>2023</v>
      </c>
      <c r="K667" t="str">
        <f>TEXT(Table1[[#This Row],[Order Date]], "MMM")</f>
        <v>Aug</v>
      </c>
    </row>
    <row r="668" spans="1:11">
      <c r="A668">
        <v>1099</v>
      </c>
      <c r="B668" s="4" t="s">
        <v>253</v>
      </c>
      <c r="C668" t="s">
        <v>29</v>
      </c>
      <c r="D668" t="s">
        <v>25</v>
      </c>
      <c r="E668" s="8">
        <v>3899</v>
      </c>
      <c r="F668" s="8">
        <v>789</v>
      </c>
      <c r="G668" t="s">
        <v>14</v>
      </c>
      <c r="H668" t="s">
        <v>19</v>
      </c>
      <c r="I668">
        <f>F668/E668</f>
        <v>0.20235957937932803</v>
      </c>
      <c r="J668">
        <f>YEAR(Table1[[#This Row],[Order Date]])</f>
        <v>2023</v>
      </c>
      <c r="K668" t="str">
        <f>TEXT(Table1[[#This Row],[Order Date]], "MMM")</f>
        <v>Aug</v>
      </c>
    </row>
    <row r="669" spans="1:11">
      <c r="A669">
        <v>1113</v>
      </c>
      <c r="B669" s="4" t="s">
        <v>253</v>
      </c>
      <c r="C669" t="s">
        <v>28</v>
      </c>
      <c r="D669" t="s">
        <v>25</v>
      </c>
      <c r="E669" s="8">
        <v>1620</v>
      </c>
      <c r="F669" s="8">
        <v>157</v>
      </c>
      <c r="G669" t="s">
        <v>18</v>
      </c>
      <c r="H669" t="s">
        <v>19</v>
      </c>
      <c r="I669">
        <f>F669/E669</f>
        <v>9.6913580246913586E-2</v>
      </c>
      <c r="J669">
        <f>YEAR(Table1[[#This Row],[Order Date]])</f>
        <v>2023</v>
      </c>
      <c r="K669" t="str">
        <f>TEXT(Table1[[#This Row],[Order Date]], "MMM")</f>
        <v>Aug</v>
      </c>
    </row>
    <row r="670" spans="1:11">
      <c r="A670">
        <v>1281</v>
      </c>
      <c r="B670" s="4" t="s">
        <v>253</v>
      </c>
      <c r="C670" t="s">
        <v>12</v>
      </c>
      <c r="D670" t="s">
        <v>25</v>
      </c>
      <c r="E670" s="8">
        <v>1106</v>
      </c>
      <c r="F670" s="8">
        <v>562</v>
      </c>
      <c r="G670" t="s">
        <v>14</v>
      </c>
      <c r="H670" t="s">
        <v>15</v>
      </c>
      <c r="I670">
        <f>F670/E670</f>
        <v>0.50813743218806506</v>
      </c>
      <c r="J670">
        <f>YEAR(Table1[[#This Row],[Order Date]])</f>
        <v>2023</v>
      </c>
      <c r="K670" t="str">
        <f>TEXT(Table1[[#This Row],[Order Date]], "MMM")</f>
        <v>Aug</v>
      </c>
    </row>
    <row r="671" spans="1:11">
      <c r="A671">
        <v>1602</v>
      </c>
      <c r="B671" s="4" t="s">
        <v>253</v>
      </c>
      <c r="C671" t="s">
        <v>24</v>
      </c>
      <c r="D671" t="s">
        <v>22</v>
      </c>
      <c r="E671" s="8">
        <v>4997</v>
      </c>
      <c r="F671" s="8">
        <v>708</v>
      </c>
      <c r="G671" t="s">
        <v>23</v>
      </c>
      <c r="H671" t="s">
        <v>15</v>
      </c>
      <c r="I671">
        <f>F671/E671</f>
        <v>0.14168501100660397</v>
      </c>
      <c r="J671">
        <f>YEAR(Table1[[#This Row],[Order Date]])</f>
        <v>2023</v>
      </c>
      <c r="K671" t="str">
        <f>TEXT(Table1[[#This Row],[Order Date]], "MMM")</f>
        <v>Aug</v>
      </c>
    </row>
    <row r="672" spans="1:11">
      <c r="A672">
        <v>1861</v>
      </c>
      <c r="B672" s="4" t="s">
        <v>253</v>
      </c>
      <c r="C672" t="s">
        <v>24</v>
      </c>
      <c r="D672" t="s">
        <v>22</v>
      </c>
      <c r="E672" s="8">
        <v>3818</v>
      </c>
      <c r="F672" s="8">
        <v>661</v>
      </c>
      <c r="G672" t="s">
        <v>14</v>
      </c>
      <c r="H672" t="s">
        <v>15</v>
      </c>
      <c r="I672">
        <f>F672/E672</f>
        <v>0.17312729177579886</v>
      </c>
      <c r="J672">
        <f>YEAR(Table1[[#This Row],[Order Date]])</f>
        <v>2023</v>
      </c>
      <c r="K672" t="str">
        <f>TEXT(Table1[[#This Row],[Order Date]], "MMM")</f>
        <v>Aug</v>
      </c>
    </row>
    <row r="673" spans="1:11">
      <c r="A673">
        <v>1039</v>
      </c>
      <c r="B673" s="4" t="s">
        <v>254</v>
      </c>
      <c r="C673" t="s">
        <v>29</v>
      </c>
      <c r="D673" t="s">
        <v>22</v>
      </c>
      <c r="E673" s="8">
        <v>1396</v>
      </c>
      <c r="F673" s="8">
        <v>650</v>
      </c>
      <c r="G673" t="s">
        <v>30</v>
      </c>
      <c r="H673" t="s">
        <v>19</v>
      </c>
      <c r="I673">
        <f>F673/E673</f>
        <v>0.46561604584527222</v>
      </c>
      <c r="J673">
        <f>YEAR(Table1[[#This Row],[Order Date]])</f>
        <v>2023</v>
      </c>
      <c r="K673" t="str">
        <f>TEXT(Table1[[#This Row],[Order Date]], "MMM")</f>
        <v>Aug</v>
      </c>
    </row>
    <row r="674" spans="1:11">
      <c r="A674">
        <v>1047</v>
      </c>
      <c r="B674" s="4" t="s">
        <v>254</v>
      </c>
      <c r="C674" t="s">
        <v>27</v>
      </c>
      <c r="D674" t="s">
        <v>13</v>
      </c>
      <c r="E674" s="8">
        <v>1900</v>
      </c>
      <c r="F674" s="8">
        <v>354</v>
      </c>
      <c r="G674" t="s">
        <v>18</v>
      </c>
      <c r="H674" t="s">
        <v>19</v>
      </c>
      <c r="I674">
        <f>F674/E674</f>
        <v>0.18631578947368421</v>
      </c>
      <c r="J674">
        <f>YEAR(Table1[[#This Row],[Order Date]])</f>
        <v>2023</v>
      </c>
      <c r="K674" t="str">
        <f>TEXT(Table1[[#This Row],[Order Date]], "MMM")</f>
        <v>Aug</v>
      </c>
    </row>
    <row r="675" spans="1:11">
      <c r="A675">
        <v>1344</v>
      </c>
      <c r="B675" s="4" t="s">
        <v>254</v>
      </c>
      <c r="C675" t="s">
        <v>29</v>
      </c>
      <c r="D675" t="s">
        <v>25</v>
      </c>
      <c r="E675" s="8">
        <v>253</v>
      </c>
      <c r="F675" s="8">
        <v>915</v>
      </c>
      <c r="G675" t="s">
        <v>23</v>
      </c>
      <c r="H675" t="s">
        <v>15</v>
      </c>
      <c r="I675">
        <f>F675/E675</f>
        <v>3.616600790513834</v>
      </c>
      <c r="J675">
        <f>YEAR(Table1[[#This Row],[Order Date]])</f>
        <v>2023</v>
      </c>
      <c r="K675" t="str">
        <f>TEXT(Table1[[#This Row],[Order Date]], "MMM")</f>
        <v>Aug</v>
      </c>
    </row>
    <row r="676" spans="1:11">
      <c r="A676">
        <v>1937</v>
      </c>
      <c r="B676" s="4" t="s">
        <v>254</v>
      </c>
      <c r="C676" t="s">
        <v>27</v>
      </c>
      <c r="D676" t="s">
        <v>25</v>
      </c>
      <c r="E676" s="8">
        <v>3906</v>
      </c>
      <c r="F676" s="8">
        <v>880</v>
      </c>
      <c r="G676" t="s">
        <v>14</v>
      </c>
      <c r="H676" t="s">
        <v>15</v>
      </c>
      <c r="I676">
        <f>F676/E676</f>
        <v>0.22529441884280593</v>
      </c>
      <c r="J676">
        <f>YEAR(Table1[[#This Row],[Order Date]])</f>
        <v>2023</v>
      </c>
      <c r="K676" t="str">
        <f>TEXT(Table1[[#This Row],[Order Date]], "MMM")</f>
        <v>Aug</v>
      </c>
    </row>
    <row r="677" spans="1:11">
      <c r="A677">
        <v>1058</v>
      </c>
      <c r="B677" s="4" t="s">
        <v>255</v>
      </c>
      <c r="C677" t="s">
        <v>28</v>
      </c>
      <c r="D677" t="s">
        <v>25</v>
      </c>
      <c r="E677" s="8">
        <v>3093</v>
      </c>
      <c r="F677" s="8">
        <v>33</v>
      </c>
      <c r="G677" t="s">
        <v>14</v>
      </c>
      <c r="H677" t="s">
        <v>15</v>
      </c>
      <c r="I677">
        <f>F677/E677</f>
        <v>1.066925315227934E-2</v>
      </c>
      <c r="J677">
        <f>YEAR(Table1[[#This Row],[Order Date]])</f>
        <v>2023</v>
      </c>
      <c r="K677" t="str">
        <f>TEXT(Table1[[#This Row],[Order Date]], "MMM")</f>
        <v>Aug</v>
      </c>
    </row>
    <row r="678" spans="1:11">
      <c r="A678">
        <v>1155</v>
      </c>
      <c r="B678" s="4" t="s">
        <v>255</v>
      </c>
      <c r="C678" t="s">
        <v>17</v>
      </c>
      <c r="D678" t="s">
        <v>13</v>
      </c>
      <c r="E678" s="8">
        <v>4030</v>
      </c>
      <c r="F678" s="8">
        <v>935</v>
      </c>
      <c r="G678" t="s">
        <v>18</v>
      </c>
      <c r="H678" t="s">
        <v>19</v>
      </c>
      <c r="I678">
        <f>F678/E678</f>
        <v>0.23200992555831265</v>
      </c>
      <c r="J678">
        <f>YEAR(Table1[[#This Row],[Order Date]])</f>
        <v>2023</v>
      </c>
      <c r="K678" t="str">
        <f>TEXT(Table1[[#This Row],[Order Date]], "MMM")</f>
        <v>Aug</v>
      </c>
    </row>
    <row r="679" spans="1:11">
      <c r="A679">
        <v>1262</v>
      </c>
      <c r="B679" s="4" t="s">
        <v>256</v>
      </c>
      <c r="C679" t="s">
        <v>21</v>
      </c>
      <c r="D679" t="s">
        <v>13</v>
      </c>
      <c r="E679" s="8">
        <v>1407</v>
      </c>
      <c r="F679" s="8">
        <v>677</v>
      </c>
      <c r="G679" t="s">
        <v>14</v>
      </c>
      <c r="H679" t="s">
        <v>19</v>
      </c>
      <c r="I679">
        <f>F679/E679</f>
        <v>0.48116560056858565</v>
      </c>
      <c r="J679">
        <f>YEAR(Table1[[#This Row],[Order Date]])</f>
        <v>2023</v>
      </c>
      <c r="K679" t="str">
        <f>TEXT(Table1[[#This Row],[Order Date]], "MMM")</f>
        <v>Aug</v>
      </c>
    </row>
    <row r="680" spans="1:11">
      <c r="A680">
        <v>1435</v>
      </c>
      <c r="B680" s="4" t="s">
        <v>256</v>
      </c>
      <c r="C680" t="s">
        <v>21</v>
      </c>
      <c r="D680" t="s">
        <v>22</v>
      </c>
      <c r="E680" s="8">
        <v>1327</v>
      </c>
      <c r="F680" s="8">
        <v>443</v>
      </c>
      <c r="G680" t="s">
        <v>18</v>
      </c>
      <c r="H680" t="s">
        <v>19</v>
      </c>
      <c r="I680">
        <f>F680/E680</f>
        <v>0.33383571966842501</v>
      </c>
      <c r="J680">
        <f>YEAR(Table1[[#This Row],[Order Date]])</f>
        <v>2023</v>
      </c>
      <c r="K680" t="str">
        <f>TEXT(Table1[[#This Row],[Order Date]], "MMM")</f>
        <v>Aug</v>
      </c>
    </row>
    <row r="681" spans="1:11">
      <c r="A681">
        <v>1656</v>
      </c>
      <c r="B681" s="4" t="s">
        <v>256</v>
      </c>
      <c r="C681" t="s">
        <v>21</v>
      </c>
      <c r="D681" t="s">
        <v>25</v>
      </c>
      <c r="E681" s="8">
        <v>4394</v>
      </c>
      <c r="F681" s="8">
        <v>521</v>
      </c>
      <c r="G681" t="s">
        <v>23</v>
      </c>
      <c r="H681" t="s">
        <v>19</v>
      </c>
      <c r="I681">
        <f>F681/E681</f>
        <v>0.11857077833409195</v>
      </c>
      <c r="J681">
        <f>YEAR(Table1[[#This Row],[Order Date]])</f>
        <v>2023</v>
      </c>
      <c r="K681" t="str">
        <f>TEXT(Table1[[#This Row],[Order Date]], "MMM")</f>
        <v>Aug</v>
      </c>
    </row>
    <row r="682" spans="1:11">
      <c r="A682">
        <v>1934</v>
      </c>
      <c r="B682" s="4" t="s">
        <v>256</v>
      </c>
      <c r="C682" t="s">
        <v>29</v>
      </c>
      <c r="D682" t="s">
        <v>13</v>
      </c>
      <c r="E682" s="8">
        <v>4851</v>
      </c>
      <c r="F682" s="8">
        <v>147</v>
      </c>
      <c r="G682" t="s">
        <v>18</v>
      </c>
      <c r="H682" t="s">
        <v>19</v>
      </c>
      <c r="I682">
        <f>F682/E682</f>
        <v>3.0303030303030304E-2</v>
      </c>
      <c r="J682">
        <f>YEAR(Table1[[#This Row],[Order Date]])</f>
        <v>2023</v>
      </c>
      <c r="K682" t="str">
        <f>TEXT(Table1[[#This Row],[Order Date]], "MMM")</f>
        <v>Aug</v>
      </c>
    </row>
    <row r="683" spans="1:11">
      <c r="A683">
        <v>1088</v>
      </c>
      <c r="B683" s="4" t="s">
        <v>257</v>
      </c>
      <c r="C683" t="s">
        <v>27</v>
      </c>
      <c r="D683" t="s">
        <v>13</v>
      </c>
      <c r="E683" s="8">
        <v>552</v>
      </c>
      <c r="F683" s="8">
        <v>86</v>
      </c>
      <c r="G683" t="s">
        <v>23</v>
      </c>
      <c r="H683" t="s">
        <v>19</v>
      </c>
      <c r="I683">
        <f>F683/E683</f>
        <v>0.15579710144927536</v>
      </c>
      <c r="J683">
        <f>YEAR(Table1[[#This Row],[Order Date]])</f>
        <v>2023</v>
      </c>
      <c r="K683" t="str">
        <f>TEXT(Table1[[#This Row],[Order Date]], "MMM")</f>
        <v>Sep</v>
      </c>
    </row>
    <row r="684" spans="1:11">
      <c r="A684">
        <v>1709</v>
      </c>
      <c r="B684" s="4" t="s">
        <v>257</v>
      </c>
      <c r="C684" t="s">
        <v>29</v>
      </c>
      <c r="D684" t="s">
        <v>25</v>
      </c>
      <c r="E684" s="8">
        <v>2836</v>
      </c>
      <c r="F684" s="8">
        <v>87</v>
      </c>
      <c r="G684" t="s">
        <v>18</v>
      </c>
      <c r="H684" t="s">
        <v>15</v>
      </c>
      <c r="I684">
        <f>F684/E684</f>
        <v>3.067700987306065E-2</v>
      </c>
      <c r="J684">
        <f>YEAR(Table1[[#This Row],[Order Date]])</f>
        <v>2023</v>
      </c>
      <c r="K684" t="str">
        <f>TEXT(Table1[[#This Row],[Order Date]], "MMM")</f>
        <v>Sep</v>
      </c>
    </row>
    <row r="685" spans="1:11">
      <c r="A685">
        <v>1931</v>
      </c>
      <c r="B685" s="4" t="s">
        <v>257</v>
      </c>
      <c r="C685" t="s">
        <v>21</v>
      </c>
      <c r="D685" t="s">
        <v>13</v>
      </c>
      <c r="E685" s="8">
        <v>875</v>
      </c>
      <c r="F685" s="8">
        <v>475</v>
      </c>
      <c r="G685" t="s">
        <v>30</v>
      </c>
      <c r="H685" t="s">
        <v>19</v>
      </c>
      <c r="I685">
        <f>F685/E685</f>
        <v>0.54285714285714282</v>
      </c>
      <c r="J685">
        <f>YEAR(Table1[[#This Row],[Order Date]])</f>
        <v>2023</v>
      </c>
      <c r="K685" t="str">
        <f>TEXT(Table1[[#This Row],[Order Date]], "MMM")</f>
        <v>Sep</v>
      </c>
    </row>
    <row r="686" spans="1:11">
      <c r="A686">
        <v>1541</v>
      </c>
      <c r="B686" s="4" t="s">
        <v>258</v>
      </c>
      <c r="C686" t="s">
        <v>21</v>
      </c>
      <c r="D686" t="s">
        <v>13</v>
      </c>
      <c r="E686" s="8">
        <v>3445</v>
      </c>
      <c r="F686" s="8">
        <v>164</v>
      </c>
      <c r="G686" t="s">
        <v>18</v>
      </c>
      <c r="H686" t="s">
        <v>19</v>
      </c>
      <c r="I686">
        <f>F686/E686</f>
        <v>4.7605224963715533E-2</v>
      </c>
      <c r="J686">
        <f>YEAR(Table1[[#This Row],[Order Date]])</f>
        <v>2023</v>
      </c>
      <c r="K686" t="str">
        <f>TEXT(Table1[[#This Row],[Order Date]], "MMM")</f>
        <v>Sep</v>
      </c>
    </row>
    <row r="687" spans="1:11">
      <c r="A687">
        <v>1107</v>
      </c>
      <c r="B687" s="4" t="s">
        <v>259</v>
      </c>
      <c r="C687" t="s">
        <v>24</v>
      </c>
      <c r="D687" t="s">
        <v>25</v>
      </c>
      <c r="E687" s="8">
        <v>223</v>
      </c>
      <c r="F687" s="8">
        <v>102</v>
      </c>
      <c r="G687" t="s">
        <v>23</v>
      </c>
      <c r="H687" t="s">
        <v>19</v>
      </c>
      <c r="I687">
        <f>F687/E687</f>
        <v>0.45739910313901344</v>
      </c>
      <c r="J687">
        <f>YEAR(Table1[[#This Row],[Order Date]])</f>
        <v>2023</v>
      </c>
      <c r="K687" t="str">
        <f>TEXT(Table1[[#This Row],[Order Date]], "MMM")</f>
        <v>Sep</v>
      </c>
    </row>
    <row r="688" spans="1:11">
      <c r="A688">
        <v>1425</v>
      </c>
      <c r="B688" s="4" t="s">
        <v>259</v>
      </c>
      <c r="C688" t="s">
        <v>27</v>
      </c>
      <c r="D688" t="s">
        <v>25</v>
      </c>
      <c r="E688" s="8">
        <v>3517</v>
      </c>
      <c r="F688" s="8">
        <v>647</v>
      </c>
      <c r="G688" t="s">
        <v>14</v>
      </c>
      <c r="H688" t="s">
        <v>19</v>
      </c>
      <c r="I688">
        <f>F688/E688</f>
        <v>0.18396360534546488</v>
      </c>
      <c r="J688">
        <f>YEAR(Table1[[#This Row],[Order Date]])</f>
        <v>2023</v>
      </c>
      <c r="K688" t="str">
        <f>TEXT(Table1[[#This Row],[Order Date]], "MMM")</f>
        <v>Sep</v>
      </c>
    </row>
    <row r="689" spans="1:11">
      <c r="A689">
        <v>1443</v>
      </c>
      <c r="B689" s="4" t="s">
        <v>260</v>
      </c>
      <c r="C689" t="s">
        <v>21</v>
      </c>
      <c r="D689" t="s">
        <v>22</v>
      </c>
      <c r="E689" s="8">
        <v>3885</v>
      </c>
      <c r="F689" s="8">
        <v>494</v>
      </c>
      <c r="G689" t="s">
        <v>23</v>
      </c>
      <c r="H689" t="s">
        <v>19</v>
      </c>
      <c r="I689">
        <f>F689/E689</f>
        <v>0.12715572715572715</v>
      </c>
      <c r="J689">
        <f>YEAR(Table1[[#This Row],[Order Date]])</f>
        <v>2023</v>
      </c>
      <c r="K689" t="str">
        <f>TEXT(Table1[[#This Row],[Order Date]], "MMM")</f>
        <v>Sep</v>
      </c>
    </row>
    <row r="690" spans="1:11">
      <c r="A690">
        <v>1501</v>
      </c>
      <c r="B690" s="4" t="s">
        <v>260</v>
      </c>
      <c r="C690" t="s">
        <v>12</v>
      </c>
      <c r="D690" t="s">
        <v>25</v>
      </c>
      <c r="E690" s="8">
        <v>877</v>
      </c>
      <c r="F690" s="8">
        <v>767</v>
      </c>
      <c r="G690" t="s">
        <v>14</v>
      </c>
      <c r="H690" t="s">
        <v>19</v>
      </c>
      <c r="I690">
        <f>F690/E690</f>
        <v>0.87457240592930441</v>
      </c>
      <c r="J690">
        <f>YEAR(Table1[[#This Row],[Order Date]])</f>
        <v>2023</v>
      </c>
      <c r="K690" t="str">
        <f>TEXT(Table1[[#This Row],[Order Date]], "MMM")</f>
        <v>Sep</v>
      </c>
    </row>
    <row r="691" spans="1:11">
      <c r="A691">
        <v>1757</v>
      </c>
      <c r="B691" s="4" t="s">
        <v>260</v>
      </c>
      <c r="C691" t="s">
        <v>24</v>
      </c>
      <c r="D691" t="s">
        <v>13</v>
      </c>
      <c r="E691" s="8">
        <v>2533</v>
      </c>
      <c r="F691" s="8">
        <v>992</v>
      </c>
      <c r="G691" t="s">
        <v>14</v>
      </c>
      <c r="H691" t="s">
        <v>19</v>
      </c>
      <c r="I691">
        <f>F691/E691</f>
        <v>0.39163047769443349</v>
      </c>
      <c r="J691">
        <f>YEAR(Table1[[#This Row],[Order Date]])</f>
        <v>2023</v>
      </c>
      <c r="K691" t="str">
        <f>TEXT(Table1[[#This Row],[Order Date]], "MMM")</f>
        <v>Sep</v>
      </c>
    </row>
    <row r="692" spans="1:11">
      <c r="A692">
        <v>1791</v>
      </c>
      <c r="B692" s="4" t="s">
        <v>260</v>
      </c>
      <c r="C692" t="s">
        <v>17</v>
      </c>
      <c r="D692" t="s">
        <v>13</v>
      </c>
      <c r="E692" s="8">
        <v>1356</v>
      </c>
      <c r="F692" s="8">
        <v>317</v>
      </c>
      <c r="G692" t="s">
        <v>14</v>
      </c>
      <c r="H692" t="s">
        <v>19</v>
      </c>
      <c r="I692">
        <f>F692/E692</f>
        <v>0.23377581120943952</v>
      </c>
      <c r="J692">
        <f>YEAR(Table1[[#This Row],[Order Date]])</f>
        <v>2023</v>
      </c>
      <c r="K692" t="str">
        <f>TEXT(Table1[[#This Row],[Order Date]], "MMM")</f>
        <v>Sep</v>
      </c>
    </row>
    <row r="693" spans="1:11">
      <c r="A693">
        <v>1970</v>
      </c>
      <c r="B693" s="4" t="s">
        <v>260</v>
      </c>
      <c r="C693" t="s">
        <v>21</v>
      </c>
      <c r="D693" t="s">
        <v>25</v>
      </c>
      <c r="E693" s="8">
        <v>2315</v>
      </c>
      <c r="F693" s="8">
        <v>255</v>
      </c>
      <c r="G693" t="s">
        <v>23</v>
      </c>
      <c r="H693" t="s">
        <v>19</v>
      </c>
      <c r="I693">
        <f>F693/E693</f>
        <v>0.1101511879049676</v>
      </c>
      <c r="J693">
        <f>YEAR(Table1[[#This Row],[Order Date]])</f>
        <v>2023</v>
      </c>
      <c r="K693" t="str">
        <f>TEXT(Table1[[#This Row],[Order Date]], "MMM")</f>
        <v>Sep</v>
      </c>
    </row>
    <row r="694" spans="1:11">
      <c r="A694">
        <v>1963</v>
      </c>
      <c r="B694" s="4" t="s">
        <v>261</v>
      </c>
      <c r="C694" t="s">
        <v>12</v>
      </c>
      <c r="D694" t="s">
        <v>25</v>
      </c>
      <c r="E694" s="8">
        <v>4444</v>
      </c>
      <c r="F694" s="8">
        <v>350</v>
      </c>
      <c r="G694" t="s">
        <v>14</v>
      </c>
      <c r="H694" t="s">
        <v>15</v>
      </c>
      <c r="I694">
        <f>F694/E694</f>
        <v>7.8757875787578757E-2</v>
      </c>
      <c r="J694">
        <f>YEAR(Table1[[#This Row],[Order Date]])</f>
        <v>2023</v>
      </c>
      <c r="K694" t="str">
        <f>TEXT(Table1[[#This Row],[Order Date]], "MMM")</f>
        <v>Sep</v>
      </c>
    </row>
    <row r="695" spans="1:11">
      <c r="A695">
        <v>1023</v>
      </c>
      <c r="B695" s="4" t="s">
        <v>262</v>
      </c>
      <c r="C695" t="s">
        <v>12</v>
      </c>
      <c r="D695" t="s">
        <v>25</v>
      </c>
      <c r="E695" s="8">
        <v>210</v>
      </c>
      <c r="F695" s="8">
        <v>792</v>
      </c>
      <c r="G695" t="s">
        <v>30</v>
      </c>
      <c r="H695" t="s">
        <v>19</v>
      </c>
      <c r="I695">
        <f>F695/E695</f>
        <v>3.7714285714285714</v>
      </c>
      <c r="J695">
        <f>YEAR(Table1[[#This Row],[Order Date]])</f>
        <v>2023</v>
      </c>
      <c r="K695" t="str">
        <f>TEXT(Table1[[#This Row],[Order Date]], "MMM")</f>
        <v>Sep</v>
      </c>
    </row>
    <row r="696" spans="1:11">
      <c r="A696">
        <v>1154</v>
      </c>
      <c r="B696" s="4" t="s">
        <v>262</v>
      </c>
      <c r="C696" t="s">
        <v>27</v>
      </c>
      <c r="D696" t="s">
        <v>13</v>
      </c>
      <c r="E696" s="8">
        <v>4053</v>
      </c>
      <c r="F696" s="8">
        <v>913</v>
      </c>
      <c r="G696" t="s">
        <v>30</v>
      </c>
      <c r="H696" t="s">
        <v>19</v>
      </c>
      <c r="I696">
        <f>F696/E696</f>
        <v>0.22526523562792994</v>
      </c>
      <c r="J696">
        <f>YEAR(Table1[[#This Row],[Order Date]])</f>
        <v>2023</v>
      </c>
      <c r="K696" t="str">
        <f>TEXT(Table1[[#This Row],[Order Date]], "MMM")</f>
        <v>Sep</v>
      </c>
    </row>
    <row r="697" spans="1:11">
      <c r="A697">
        <v>1299</v>
      </c>
      <c r="B697" s="4" t="s">
        <v>262</v>
      </c>
      <c r="C697" t="s">
        <v>27</v>
      </c>
      <c r="D697" t="s">
        <v>25</v>
      </c>
      <c r="E697" s="8">
        <v>4146</v>
      </c>
      <c r="F697" s="8">
        <v>131</v>
      </c>
      <c r="G697" t="s">
        <v>30</v>
      </c>
      <c r="H697" t="s">
        <v>19</v>
      </c>
      <c r="I697">
        <f>F697/E697</f>
        <v>3.1596719729860105E-2</v>
      </c>
      <c r="J697">
        <f>YEAR(Table1[[#This Row],[Order Date]])</f>
        <v>2023</v>
      </c>
      <c r="K697" t="str">
        <f>TEXT(Table1[[#This Row],[Order Date]], "MMM")</f>
        <v>Sep</v>
      </c>
    </row>
    <row r="698" spans="1:11">
      <c r="A698">
        <v>1365</v>
      </c>
      <c r="B698" s="4" t="s">
        <v>262</v>
      </c>
      <c r="C698" t="s">
        <v>12</v>
      </c>
      <c r="D698" t="s">
        <v>22</v>
      </c>
      <c r="E698" s="8">
        <v>4993</v>
      </c>
      <c r="F698" s="8">
        <v>285</v>
      </c>
      <c r="G698" t="s">
        <v>14</v>
      </c>
      <c r="H698" t="s">
        <v>19</v>
      </c>
      <c r="I698">
        <f>F698/E698</f>
        <v>5.7079911876627275E-2</v>
      </c>
      <c r="J698">
        <f>YEAR(Table1[[#This Row],[Order Date]])</f>
        <v>2023</v>
      </c>
      <c r="K698" t="str">
        <f>TEXT(Table1[[#This Row],[Order Date]], "MMM")</f>
        <v>Sep</v>
      </c>
    </row>
    <row r="699" spans="1:11">
      <c r="A699">
        <v>1408</v>
      </c>
      <c r="B699" s="4" t="s">
        <v>263</v>
      </c>
      <c r="C699" t="s">
        <v>24</v>
      </c>
      <c r="D699" t="s">
        <v>22</v>
      </c>
      <c r="E699" s="8">
        <v>2894</v>
      </c>
      <c r="F699" s="8">
        <v>503</v>
      </c>
      <c r="G699" t="s">
        <v>14</v>
      </c>
      <c r="H699" t="s">
        <v>15</v>
      </c>
      <c r="I699">
        <f>F699/E699</f>
        <v>0.17380787836903938</v>
      </c>
      <c r="J699">
        <f>YEAR(Table1[[#This Row],[Order Date]])</f>
        <v>2023</v>
      </c>
      <c r="K699" t="str">
        <f>TEXT(Table1[[#This Row],[Order Date]], "MMM")</f>
        <v>Sep</v>
      </c>
    </row>
    <row r="700" spans="1:11">
      <c r="A700">
        <v>1494</v>
      </c>
      <c r="B700" s="4" t="s">
        <v>263</v>
      </c>
      <c r="C700" t="s">
        <v>21</v>
      </c>
      <c r="D700" t="s">
        <v>25</v>
      </c>
      <c r="E700" s="8">
        <v>2817</v>
      </c>
      <c r="F700" s="8">
        <v>702</v>
      </c>
      <c r="G700" t="s">
        <v>14</v>
      </c>
      <c r="H700" t="s">
        <v>19</v>
      </c>
      <c r="I700">
        <f>F700/E700</f>
        <v>0.24920127795527156</v>
      </c>
      <c r="J700">
        <f>YEAR(Table1[[#This Row],[Order Date]])</f>
        <v>2023</v>
      </c>
      <c r="K700" t="str">
        <f>TEXT(Table1[[#This Row],[Order Date]], "MMM")</f>
        <v>Sep</v>
      </c>
    </row>
    <row r="701" spans="1:11">
      <c r="A701">
        <v>1510</v>
      </c>
      <c r="B701" s="4" t="s">
        <v>263</v>
      </c>
      <c r="C701" t="s">
        <v>21</v>
      </c>
      <c r="D701" t="s">
        <v>25</v>
      </c>
      <c r="E701" s="8">
        <v>1925</v>
      </c>
      <c r="F701" s="8">
        <v>552</v>
      </c>
      <c r="G701" t="s">
        <v>14</v>
      </c>
      <c r="H701" t="s">
        <v>15</v>
      </c>
      <c r="I701">
        <f>F701/E701</f>
        <v>0.28675324675324676</v>
      </c>
      <c r="J701">
        <f>YEAR(Table1[[#This Row],[Order Date]])</f>
        <v>2023</v>
      </c>
      <c r="K701" t="str">
        <f>TEXT(Table1[[#This Row],[Order Date]], "MMM")</f>
        <v>Sep</v>
      </c>
    </row>
    <row r="702" spans="1:11">
      <c r="A702">
        <v>1662</v>
      </c>
      <c r="B702" s="4" t="s">
        <v>263</v>
      </c>
      <c r="C702" t="s">
        <v>29</v>
      </c>
      <c r="D702" t="s">
        <v>25</v>
      </c>
      <c r="E702" s="8">
        <v>343</v>
      </c>
      <c r="F702" s="8">
        <v>639</v>
      </c>
      <c r="G702" t="s">
        <v>14</v>
      </c>
      <c r="H702" t="s">
        <v>15</v>
      </c>
      <c r="I702">
        <f>F702/E702</f>
        <v>1.8629737609329446</v>
      </c>
      <c r="J702">
        <f>YEAR(Table1[[#This Row],[Order Date]])</f>
        <v>2023</v>
      </c>
      <c r="K702" t="str">
        <f>TEXT(Table1[[#This Row],[Order Date]], "MMM")</f>
        <v>Sep</v>
      </c>
    </row>
    <row r="703" spans="1:11">
      <c r="A703">
        <v>1722</v>
      </c>
      <c r="B703" s="4" t="s">
        <v>263</v>
      </c>
      <c r="C703" t="s">
        <v>17</v>
      </c>
      <c r="D703" t="s">
        <v>13</v>
      </c>
      <c r="E703" s="8">
        <v>960</v>
      </c>
      <c r="F703" s="8">
        <v>170</v>
      </c>
      <c r="G703" t="s">
        <v>18</v>
      </c>
      <c r="H703" t="s">
        <v>19</v>
      </c>
      <c r="I703">
        <f>F703/E703</f>
        <v>0.17708333333333334</v>
      </c>
      <c r="J703">
        <f>YEAR(Table1[[#This Row],[Order Date]])</f>
        <v>2023</v>
      </c>
      <c r="K703" t="str">
        <f>TEXT(Table1[[#This Row],[Order Date]], "MMM")</f>
        <v>Sep</v>
      </c>
    </row>
    <row r="704" spans="1:11">
      <c r="A704">
        <v>1859</v>
      </c>
      <c r="B704" s="4" t="s">
        <v>263</v>
      </c>
      <c r="C704" t="s">
        <v>24</v>
      </c>
      <c r="D704" t="s">
        <v>13</v>
      </c>
      <c r="E704" s="8">
        <v>3218</v>
      </c>
      <c r="F704" s="8">
        <v>708</v>
      </c>
      <c r="G704" t="s">
        <v>23</v>
      </c>
      <c r="H704" t="s">
        <v>19</v>
      </c>
      <c r="I704">
        <f>F704/E704</f>
        <v>0.22001243008079552</v>
      </c>
      <c r="J704">
        <f>YEAR(Table1[[#This Row],[Order Date]])</f>
        <v>2023</v>
      </c>
      <c r="K704" t="str">
        <f>TEXT(Table1[[#This Row],[Order Date]], "MMM")</f>
        <v>Sep</v>
      </c>
    </row>
    <row r="705" spans="1:11">
      <c r="A705">
        <v>1241</v>
      </c>
      <c r="B705" s="4" t="s">
        <v>264</v>
      </c>
      <c r="C705" t="s">
        <v>17</v>
      </c>
      <c r="D705" t="s">
        <v>13</v>
      </c>
      <c r="E705" s="8">
        <v>4366</v>
      </c>
      <c r="F705" s="8">
        <v>33</v>
      </c>
      <c r="G705" t="s">
        <v>14</v>
      </c>
      <c r="H705" t="s">
        <v>19</v>
      </c>
      <c r="I705">
        <f>F705/E705</f>
        <v>7.5584058634906096E-3</v>
      </c>
      <c r="J705">
        <f>YEAR(Table1[[#This Row],[Order Date]])</f>
        <v>2023</v>
      </c>
      <c r="K705" t="str">
        <f>TEXT(Table1[[#This Row],[Order Date]], "MMM")</f>
        <v>Sep</v>
      </c>
    </row>
    <row r="706" spans="1:11">
      <c r="A706">
        <v>1288</v>
      </c>
      <c r="B706" s="4" t="s">
        <v>264</v>
      </c>
      <c r="C706" t="s">
        <v>12</v>
      </c>
      <c r="D706" t="s">
        <v>22</v>
      </c>
      <c r="E706" s="8">
        <v>4440</v>
      </c>
      <c r="F706" s="8">
        <v>978</v>
      </c>
      <c r="G706" t="s">
        <v>18</v>
      </c>
      <c r="H706" t="s">
        <v>19</v>
      </c>
      <c r="I706">
        <f>F706/E706</f>
        <v>0.22027027027027027</v>
      </c>
      <c r="J706">
        <f>YEAR(Table1[[#This Row],[Order Date]])</f>
        <v>2023</v>
      </c>
      <c r="K706" t="str">
        <f>TEXT(Table1[[#This Row],[Order Date]], "MMM")</f>
        <v>Sep</v>
      </c>
    </row>
    <row r="707" spans="1:11">
      <c r="A707">
        <v>1559</v>
      </c>
      <c r="B707" s="4" t="s">
        <v>264</v>
      </c>
      <c r="C707" t="s">
        <v>12</v>
      </c>
      <c r="D707" t="s">
        <v>13</v>
      </c>
      <c r="E707" s="8">
        <v>3478</v>
      </c>
      <c r="F707" s="8">
        <v>159</v>
      </c>
      <c r="G707" t="s">
        <v>18</v>
      </c>
      <c r="H707" t="s">
        <v>19</v>
      </c>
      <c r="I707">
        <f>F707/E707</f>
        <v>4.5715928694652096E-2</v>
      </c>
      <c r="J707">
        <f>YEAR(Table1[[#This Row],[Order Date]])</f>
        <v>2023</v>
      </c>
      <c r="K707" t="str">
        <f>TEXT(Table1[[#This Row],[Order Date]], "MMM")</f>
        <v>Sep</v>
      </c>
    </row>
    <row r="708" spans="1:11">
      <c r="A708">
        <v>1652</v>
      </c>
      <c r="B708" s="4" t="s">
        <v>264</v>
      </c>
      <c r="C708" t="s">
        <v>24</v>
      </c>
      <c r="D708" t="s">
        <v>13</v>
      </c>
      <c r="E708" s="8">
        <v>2464</v>
      </c>
      <c r="F708" s="8">
        <v>197</v>
      </c>
      <c r="G708" t="s">
        <v>14</v>
      </c>
      <c r="H708" t="s">
        <v>19</v>
      </c>
      <c r="I708">
        <f>F708/E708</f>
        <v>7.9951298701298704E-2</v>
      </c>
      <c r="J708">
        <f>YEAR(Table1[[#This Row],[Order Date]])</f>
        <v>2023</v>
      </c>
      <c r="K708" t="str">
        <f>TEXT(Table1[[#This Row],[Order Date]], "MMM")</f>
        <v>Sep</v>
      </c>
    </row>
    <row r="709" spans="1:11">
      <c r="A709">
        <v>1650</v>
      </c>
      <c r="B709" s="4" t="s">
        <v>265</v>
      </c>
      <c r="C709" t="s">
        <v>17</v>
      </c>
      <c r="D709" t="s">
        <v>25</v>
      </c>
      <c r="E709" s="8">
        <v>1779</v>
      </c>
      <c r="F709" s="8">
        <v>845</v>
      </c>
      <c r="G709" t="s">
        <v>30</v>
      </c>
      <c r="H709" t="s">
        <v>15</v>
      </c>
      <c r="I709">
        <f>F709/E709</f>
        <v>0.47498594716132658</v>
      </c>
      <c r="J709">
        <f>YEAR(Table1[[#This Row],[Order Date]])</f>
        <v>2023</v>
      </c>
      <c r="K709" t="str">
        <f>TEXT(Table1[[#This Row],[Order Date]], "MMM")</f>
        <v>Sep</v>
      </c>
    </row>
    <row r="710" spans="1:11">
      <c r="A710">
        <v>1694</v>
      </c>
      <c r="B710" s="4" t="s">
        <v>265</v>
      </c>
      <c r="C710" t="s">
        <v>29</v>
      </c>
      <c r="D710" t="s">
        <v>22</v>
      </c>
      <c r="E710" s="8">
        <v>4691</v>
      </c>
      <c r="F710" s="8">
        <v>469</v>
      </c>
      <c r="G710" t="s">
        <v>14</v>
      </c>
      <c r="H710" t="s">
        <v>15</v>
      </c>
      <c r="I710">
        <f>F710/E710</f>
        <v>9.9978682583670861E-2</v>
      </c>
      <c r="J710">
        <f>YEAR(Table1[[#This Row],[Order Date]])</f>
        <v>2023</v>
      </c>
      <c r="K710" t="str">
        <f>TEXT(Table1[[#This Row],[Order Date]], "MMM")</f>
        <v>Sep</v>
      </c>
    </row>
    <row r="711" spans="1:11">
      <c r="A711">
        <v>1761</v>
      </c>
      <c r="B711" s="4" t="s">
        <v>265</v>
      </c>
      <c r="C711" t="s">
        <v>27</v>
      </c>
      <c r="D711" t="s">
        <v>13</v>
      </c>
      <c r="E711" s="8">
        <v>574</v>
      </c>
      <c r="F711" s="8">
        <v>340</v>
      </c>
      <c r="G711" t="s">
        <v>23</v>
      </c>
      <c r="H711" t="s">
        <v>15</v>
      </c>
      <c r="I711">
        <f>F711/E711</f>
        <v>0.59233449477351918</v>
      </c>
      <c r="J711">
        <f>YEAR(Table1[[#This Row],[Order Date]])</f>
        <v>2023</v>
      </c>
      <c r="K711" t="str">
        <f>TEXT(Table1[[#This Row],[Order Date]], "MMM")</f>
        <v>Sep</v>
      </c>
    </row>
    <row r="712" spans="1:11">
      <c r="A712">
        <v>1391</v>
      </c>
      <c r="B712" s="4" t="s">
        <v>266</v>
      </c>
      <c r="C712" t="s">
        <v>28</v>
      </c>
      <c r="D712" t="s">
        <v>22</v>
      </c>
      <c r="E712" s="8">
        <v>1188</v>
      </c>
      <c r="F712" s="8">
        <v>248</v>
      </c>
      <c r="G712" t="s">
        <v>30</v>
      </c>
      <c r="H712" t="s">
        <v>15</v>
      </c>
      <c r="I712">
        <f>F712/E712</f>
        <v>0.20875420875420875</v>
      </c>
      <c r="J712">
        <f>YEAR(Table1[[#This Row],[Order Date]])</f>
        <v>2023</v>
      </c>
      <c r="K712" t="str">
        <f>TEXT(Table1[[#This Row],[Order Date]], "MMM")</f>
        <v>Sep</v>
      </c>
    </row>
    <row r="713" spans="1:11">
      <c r="A713">
        <v>1971</v>
      </c>
      <c r="B713" s="4" t="s">
        <v>266</v>
      </c>
      <c r="C713" t="s">
        <v>28</v>
      </c>
      <c r="D713" t="s">
        <v>25</v>
      </c>
      <c r="E713" s="8">
        <v>3457</v>
      </c>
      <c r="F713" s="8">
        <v>983</v>
      </c>
      <c r="G713" t="s">
        <v>18</v>
      </c>
      <c r="H713" t="s">
        <v>19</v>
      </c>
      <c r="I713">
        <f>F713/E713</f>
        <v>0.28435059299971072</v>
      </c>
      <c r="J713">
        <f>YEAR(Table1[[#This Row],[Order Date]])</f>
        <v>2023</v>
      </c>
      <c r="K713" t="str">
        <f>TEXT(Table1[[#This Row],[Order Date]], "MMM")</f>
        <v>Sep</v>
      </c>
    </row>
    <row r="714" spans="1:11">
      <c r="A714">
        <v>1089</v>
      </c>
      <c r="B714" s="4" t="s">
        <v>267</v>
      </c>
      <c r="C714" t="s">
        <v>27</v>
      </c>
      <c r="D714" t="s">
        <v>13</v>
      </c>
      <c r="E714" s="8">
        <v>983</v>
      </c>
      <c r="F714" s="8">
        <v>251</v>
      </c>
      <c r="G714" t="s">
        <v>14</v>
      </c>
      <c r="H714" t="s">
        <v>15</v>
      </c>
      <c r="I714">
        <f>F714/E714</f>
        <v>0.25534079348931843</v>
      </c>
      <c r="J714">
        <f>YEAR(Table1[[#This Row],[Order Date]])</f>
        <v>2023</v>
      </c>
      <c r="K714" t="str">
        <f>TEXT(Table1[[#This Row],[Order Date]], "MMM")</f>
        <v>Sep</v>
      </c>
    </row>
    <row r="715" spans="1:11">
      <c r="A715">
        <v>1553</v>
      </c>
      <c r="B715" s="4" t="s">
        <v>267</v>
      </c>
      <c r="C715" t="s">
        <v>12</v>
      </c>
      <c r="D715" t="s">
        <v>22</v>
      </c>
      <c r="E715" s="8">
        <v>2950</v>
      </c>
      <c r="F715" s="8">
        <v>888</v>
      </c>
      <c r="G715" t="s">
        <v>30</v>
      </c>
      <c r="H715" t="s">
        <v>15</v>
      </c>
      <c r="I715">
        <f>F715/E715</f>
        <v>0.30101694915254235</v>
      </c>
      <c r="J715">
        <f>YEAR(Table1[[#This Row],[Order Date]])</f>
        <v>2023</v>
      </c>
      <c r="K715" t="str">
        <f>TEXT(Table1[[#This Row],[Order Date]], "MMM")</f>
        <v>Sep</v>
      </c>
    </row>
    <row r="716" spans="1:11">
      <c r="A716">
        <v>1840</v>
      </c>
      <c r="B716" s="4" t="s">
        <v>268</v>
      </c>
      <c r="C716" t="s">
        <v>21</v>
      </c>
      <c r="D716" t="s">
        <v>13</v>
      </c>
      <c r="E716" s="8">
        <v>1323</v>
      </c>
      <c r="F716" s="8">
        <v>91</v>
      </c>
      <c r="G716" t="s">
        <v>14</v>
      </c>
      <c r="H716" t="s">
        <v>19</v>
      </c>
      <c r="I716">
        <f>F716/E716</f>
        <v>6.8783068783068779E-2</v>
      </c>
      <c r="J716">
        <f>YEAR(Table1[[#This Row],[Order Date]])</f>
        <v>2023</v>
      </c>
      <c r="K716" t="str">
        <f>TEXT(Table1[[#This Row],[Order Date]], "MMM")</f>
        <v>Sep</v>
      </c>
    </row>
    <row r="717" spans="1:11">
      <c r="A717">
        <v>1308</v>
      </c>
      <c r="B717" s="4" t="s">
        <v>269</v>
      </c>
      <c r="C717" t="s">
        <v>24</v>
      </c>
      <c r="D717" t="s">
        <v>22</v>
      </c>
      <c r="E717" s="8">
        <v>4336</v>
      </c>
      <c r="F717" s="8">
        <v>323</v>
      </c>
      <c r="G717" t="s">
        <v>23</v>
      </c>
      <c r="H717" t="s">
        <v>15</v>
      </c>
      <c r="I717">
        <f>F717/E717</f>
        <v>7.4492619926199266E-2</v>
      </c>
      <c r="J717">
        <f>YEAR(Table1[[#This Row],[Order Date]])</f>
        <v>2023</v>
      </c>
      <c r="K717" t="str">
        <f>TEXT(Table1[[#This Row],[Order Date]], "MMM")</f>
        <v>Sep</v>
      </c>
    </row>
    <row r="718" spans="1:11">
      <c r="A718">
        <v>1346</v>
      </c>
      <c r="B718" s="4" t="s">
        <v>269</v>
      </c>
      <c r="C718" t="s">
        <v>17</v>
      </c>
      <c r="D718" t="s">
        <v>13</v>
      </c>
      <c r="E718" s="8">
        <v>1168</v>
      </c>
      <c r="F718" s="8">
        <v>381</v>
      </c>
      <c r="G718" t="s">
        <v>14</v>
      </c>
      <c r="H718" t="s">
        <v>19</v>
      </c>
      <c r="I718">
        <f>F718/E718</f>
        <v>0.3261986301369863</v>
      </c>
      <c r="J718">
        <f>YEAR(Table1[[#This Row],[Order Date]])</f>
        <v>2023</v>
      </c>
      <c r="K718" t="str">
        <f>TEXT(Table1[[#This Row],[Order Date]], "MMM")</f>
        <v>Sep</v>
      </c>
    </row>
    <row r="719" spans="1:11">
      <c r="A719">
        <v>1387</v>
      </c>
      <c r="B719" s="4" t="s">
        <v>269</v>
      </c>
      <c r="C719" t="s">
        <v>29</v>
      </c>
      <c r="D719" t="s">
        <v>13</v>
      </c>
      <c r="E719" s="8">
        <v>2730</v>
      </c>
      <c r="F719" s="8">
        <v>881</v>
      </c>
      <c r="G719" t="s">
        <v>30</v>
      </c>
      <c r="H719" t="s">
        <v>19</v>
      </c>
      <c r="I719">
        <f>F719/E719</f>
        <v>0.32271062271062273</v>
      </c>
      <c r="J719">
        <f>YEAR(Table1[[#This Row],[Order Date]])</f>
        <v>2023</v>
      </c>
      <c r="K719" t="str">
        <f>TEXT(Table1[[#This Row],[Order Date]], "MMM")</f>
        <v>Sep</v>
      </c>
    </row>
    <row r="720" spans="1:11">
      <c r="A720">
        <v>1469</v>
      </c>
      <c r="B720" s="4" t="s">
        <v>269</v>
      </c>
      <c r="C720" t="s">
        <v>24</v>
      </c>
      <c r="D720" t="s">
        <v>13</v>
      </c>
      <c r="E720" s="8">
        <v>3917</v>
      </c>
      <c r="F720" s="8">
        <v>860</v>
      </c>
      <c r="G720" t="s">
        <v>18</v>
      </c>
      <c r="H720" t="s">
        <v>19</v>
      </c>
      <c r="I720">
        <f>F720/E720</f>
        <v>0.21955578248659688</v>
      </c>
      <c r="J720">
        <f>YEAR(Table1[[#This Row],[Order Date]])</f>
        <v>2023</v>
      </c>
      <c r="K720" t="str">
        <f>TEXT(Table1[[#This Row],[Order Date]], "MMM")</f>
        <v>Sep</v>
      </c>
    </row>
    <row r="721" spans="1:11">
      <c r="A721">
        <v>1644</v>
      </c>
      <c r="B721" s="4" t="s">
        <v>269</v>
      </c>
      <c r="C721" t="s">
        <v>12</v>
      </c>
      <c r="D721" t="s">
        <v>22</v>
      </c>
      <c r="E721" s="8">
        <v>596</v>
      </c>
      <c r="F721" s="8">
        <v>848</v>
      </c>
      <c r="G721" t="s">
        <v>18</v>
      </c>
      <c r="H721" t="s">
        <v>19</v>
      </c>
      <c r="I721">
        <f>F721/E721</f>
        <v>1.4228187919463087</v>
      </c>
      <c r="J721">
        <f>YEAR(Table1[[#This Row],[Order Date]])</f>
        <v>2023</v>
      </c>
      <c r="K721" t="str">
        <f>TEXT(Table1[[#This Row],[Order Date]], "MMM")</f>
        <v>Sep</v>
      </c>
    </row>
    <row r="722" spans="1:11">
      <c r="A722">
        <v>1860</v>
      </c>
      <c r="B722" s="4" t="s">
        <v>269</v>
      </c>
      <c r="C722" t="s">
        <v>21</v>
      </c>
      <c r="D722" t="s">
        <v>25</v>
      </c>
      <c r="E722" s="8">
        <v>2453</v>
      </c>
      <c r="F722" s="8">
        <v>593</v>
      </c>
      <c r="G722" t="s">
        <v>30</v>
      </c>
      <c r="H722" t="s">
        <v>15</v>
      </c>
      <c r="I722">
        <f>F722/E722</f>
        <v>0.24174480228291886</v>
      </c>
      <c r="J722">
        <f>YEAR(Table1[[#This Row],[Order Date]])</f>
        <v>2023</v>
      </c>
      <c r="K722" t="str">
        <f>TEXT(Table1[[#This Row],[Order Date]], "MMM")</f>
        <v>Sep</v>
      </c>
    </row>
    <row r="723" spans="1:11">
      <c r="A723">
        <v>1943</v>
      </c>
      <c r="B723" s="4" t="s">
        <v>269</v>
      </c>
      <c r="C723" t="s">
        <v>12</v>
      </c>
      <c r="D723" t="s">
        <v>25</v>
      </c>
      <c r="E723" s="8">
        <v>1270</v>
      </c>
      <c r="F723" s="8">
        <v>336</v>
      </c>
      <c r="G723" t="s">
        <v>23</v>
      </c>
      <c r="H723" t="s">
        <v>15</v>
      </c>
      <c r="I723">
        <f>F723/E723</f>
        <v>0.26456692913385826</v>
      </c>
      <c r="J723">
        <f>YEAR(Table1[[#This Row],[Order Date]])</f>
        <v>2023</v>
      </c>
      <c r="K723" t="str">
        <f>TEXT(Table1[[#This Row],[Order Date]], "MMM")</f>
        <v>Sep</v>
      </c>
    </row>
    <row r="724" spans="1:11">
      <c r="A724">
        <v>1958</v>
      </c>
      <c r="B724" s="4" t="s">
        <v>270</v>
      </c>
      <c r="C724" t="s">
        <v>24</v>
      </c>
      <c r="D724" t="s">
        <v>13</v>
      </c>
      <c r="E724" s="8">
        <v>4092</v>
      </c>
      <c r="F724" s="8">
        <v>607</v>
      </c>
      <c r="G724" t="s">
        <v>23</v>
      </c>
      <c r="H724" t="s">
        <v>15</v>
      </c>
      <c r="I724">
        <f>F724/E724</f>
        <v>0.14833822091886609</v>
      </c>
      <c r="J724">
        <f>YEAR(Table1[[#This Row],[Order Date]])</f>
        <v>2023</v>
      </c>
      <c r="K724" t="str">
        <f>TEXT(Table1[[#This Row],[Order Date]], "MMM")</f>
        <v>Sep</v>
      </c>
    </row>
    <row r="725" spans="1:11">
      <c r="A725">
        <v>1960</v>
      </c>
      <c r="B725" s="4" t="s">
        <v>270</v>
      </c>
      <c r="C725" t="s">
        <v>28</v>
      </c>
      <c r="D725" t="s">
        <v>13</v>
      </c>
      <c r="E725" s="8">
        <v>2150</v>
      </c>
      <c r="F725" s="8">
        <v>917</v>
      </c>
      <c r="G725" t="s">
        <v>30</v>
      </c>
      <c r="H725" t="s">
        <v>15</v>
      </c>
      <c r="I725">
        <f>F725/E725</f>
        <v>0.42651162790697672</v>
      </c>
      <c r="J725">
        <f>YEAR(Table1[[#This Row],[Order Date]])</f>
        <v>2023</v>
      </c>
      <c r="K725" t="str">
        <f>TEXT(Table1[[#This Row],[Order Date]], "MMM")</f>
        <v>Sep</v>
      </c>
    </row>
    <row r="726" spans="1:11">
      <c r="A726">
        <v>1153</v>
      </c>
      <c r="B726" s="4" t="s">
        <v>271</v>
      </c>
      <c r="C726" t="s">
        <v>28</v>
      </c>
      <c r="D726" t="s">
        <v>25</v>
      </c>
      <c r="E726" s="8">
        <v>3723</v>
      </c>
      <c r="F726" s="8">
        <v>91</v>
      </c>
      <c r="G726" t="s">
        <v>14</v>
      </c>
      <c r="H726" t="s">
        <v>15</v>
      </c>
      <c r="I726">
        <f>F726/E726</f>
        <v>2.4442653773838304E-2</v>
      </c>
      <c r="J726">
        <f>YEAR(Table1[[#This Row],[Order Date]])</f>
        <v>2023</v>
      </c>
      <c r="K726" t="str">
        <f>TEXT(Table1[[#This Row],[Order Date]], "MMM")</f>
        <v>Sep</v>
      </c>
    </row>
    <row r="727" spans="1:11">
      <c r="A727">
        <v>1017</v>
      </c>
      <c r="B727" s="4" t="s">
        <v>272</v>
      </c>
      <c r="C727" t="s">
        <v>24</v>
      </c>
      <c r="D727" t="s">
        <v>25</v>
      </c>
      <c r="E727" s="8">
        <v>4351</v>
      </c>
      <c r="F727" s="8">
        <v>136</v>
      </c>
      <c r="G727" t="s">
        <v>23</v>
      </c>
      <c r="H727" t="s">
        <v>19</v>
      </c>
      <c r="I727">
        <f>F727/E727</f>
        <v>3.1257182256952426E-2</v>
      </c>
      <c r="J727">
        <f>YEAR(Table1[[#This Row],[Order Date]])</f>
        <v>2023</v>
      </c>
      <c r="K727" t="str">
        <f>TEXT(Table1[[#This Row],[Order Date]], "MMM")</f>
        <v>Sep</v>
      </c>
    </row>
    <row r="728" spans="1:11">
      <c r="A728">
        <v>1779</v>
      </c>
      <c r="B728" s="4" t="s">
        <v>273</v>
      </c>
      <c r="C728" t="s">
        <v>12</v>
      </c>
      <c r="D728" t="s">
        <v>13</v>
      </c>
      <c r="E728" s="8">
        <v>580</v>
      </c>
      <c r="F728" s="8">
        <v>81</v>
      </c>
      <c r="G728" t="s">
        <v>30</v>
      </c>
      <c r="H728" t="s">
        <v>19</v>
      </c>
      <c r="I728">
        <f>F728/E728</f>
        <v>0.1396551724137931</v>
      </c>
      <c r="J728">
        <f>YEAR(Table1[[#This Row],[Order Date]])</f>
        <v>2023</v>
      </c>
      <c r="K728" t="str">
        <f>TEXT(Table1[[#This Row],[Order Date]], "MMM")</f>
        <v>Sep</v>
      </c>
    </row>
    <row r="729" spans="1:11">
      <c r="A729">
        <v>1441</v>
      </c>
      <c r="B729" s="4" t="s">
        <v>274</v>
      </c>
      <c r="C729" t="s">
        <v>29</v>
      </c>
      <c r="D729" t="s">
        <v>25</v>
      </c>
      <c r="E729" s="8">
        <v>286</v>
      </c>
      <c r="F729" s="8">
        <v>574</v>
      </c>
      <c r="G729" t="s">
        <v>30</v>
      </c>
      <c r="H729" t="s">
        <v>19</v>
      </c>
      <c r="I729">
        <f>F729/E729</f>
        <v>2.0069930069930071</v>
      </c>
      <c r="J729">
        <f>YEAR(Table1[[#This Row],[Order Date]])</f>
        <v>2023</v>
      </c>
      <c r="K729" t="str">
        <f>TEXT(Table1[[#This Row],[Order Date]], "MMM")</f>
        <v>Sep</v>
      </c>
    </row>
    <row r="730" spans="1:11">
      <c r="A730">
        <v>1733</v>
      </c>
      <c r="B730" s="4" t="s">
        <v>274</v>
      </c>
      <c r="C730" t="s">
        <v>24</v>
      </c>
      <c r="D730" t="s">
        <v>13</v>
      </c>
      <c r="E730" s="8">
        <v>2826</v>
      </c>
      <c r="F730" s="8">
        <v>821</v>
      </c>
      <c r="G730" t="s">
        <v>18</v>
      </c>
      <c r="H730" t="s">
        <v>19</v>
      </c>
      <c r="I730">
        <f>F730/E730</f>
        <v>0.2905166312809625</v>
      </c>
      <c r="J730">
        <f>YEAR(Table1[[#This Row],[Order Date]])</f>
        <v>2023</v>
      </c>
      <c r="K730" t="str">
        <f>TEXT(Table1[[#This Row],[Order Date]], "MMM")</f>
        <v>Sep</v>
      </c>
    </row>
    <row r="731" spans="1:11">
      <c r="A731">
        <v>1895</v>
      </c>
      <c r="B731" s="4" t="s">
        <v>274</v>
      </c>
      <c r="C731" t="s">
        <v>12</v>
      </c>
      <c r="D731" t="s">
        <v>13</v>
      </c>
      <c r="E731" s="8">
        <v>4389</v>
      </c>
      <c r="F731" s="8">
        <v>224</v>
      </c>
      <c r="G731" t="s">
        <v>18</v>
      </c>
      <c r="H731" t="s">
        <v>19</v>
      </c>
      <c r="I731">
        <f>F731/E731</f>
        <v>5.1036682615629984E-2</v>
      </c>
      <c r="J731">
        <f>YEAR(Table1[[#This Row],[Order Date]])</f>
        <v>2023</v>
      </c>
      <c r="K731" t="str">
        <f>TEXT(Table1[[#This Row],[Order Date]], "MMM")</f>
        <v>Sep</v>
      </c>
    </row>
    <row r="732" spans="1:11">
      <c r="A732">
        <v>1874</v>
      </c>
      <c r="B732" s="4" t="s">
        <v>275</v>
      </c>
      <c r="C732" t="s">
        <v>12</v>
      </c>
      <c r="D732" t="s">
        <v>13</v>
      </c>
      <c r="E732" s="8">
        <v>2433</v>
      </c>
      <c r="F732" s="8">
        <v>501</v>
      </c>
      <c r="G732" t="s">
        <v>23</v>
      </c>
      <c r="H732" t="s">
        <v>19</v>
      </c>
      <c r="I732">
        <f>F732/E732</f>
        <v>0.2059186189889026</v>
      </c>
      <c r="J732">
        <f>YEAR(Table1[[#This Row],[Order Date]])</f>
        <v>2023</v>
      </c>
      <c r="K732" t="str">
        <f>TEXT(Table1[[#This Row],[Order Date]], "MMM")</f>
        <v>Sep</v>
      </c>
    </row>
    <row r="733" spans="1:11">
      <c r="A733">
        <v>1945</v>
      </c>
      <c r="B733" s="4" t="s">
        <v>275</v>
      </c>
      <c r="C733" t="s">
        <v>17</v>
      </c>
      <c r="D733" t="s">
        <v>22</v>
      </c>
      <c r="E733" s="8">
        <v>2700</v>
      </c>
      <c r="F733" s="8">
        <v>414</v>
      </c>
      <c r="G733" t="s">
        <v>23</v>
      </c>
      <c r="H733" t="s">
        <v>15</v>
      </c>
      <c r="I733">
        <f>F733/E733</f>
        <v>0.15333333333333332</v>
      </c>
      <c r="J733">
        <f>YEAR(Table1[[#This Row],[Order Date]])</f>
        <v>2023</v>
      </c>
      <c r="K733" t="str">
        <f>TEXT(Table1[[#This Row],[Order Date]], "MMM")</f>
        <v>Sep</v>
      </c>
    </row>
    <row r="734" spans="1:11">
      <c r="A734">
        <v>1200</v>
      </c>
      <c r="B734" s="4" t="s">
        <v>276</v>
      </c>
      <c r="C734" t="s">
        <v>28</v>
      </c>
      <c r="D734" t="s">
        <v>22</v>
      </c>
      <c r="E734" s="8">
        <v>3244</v>
      </c>
      <c r="F734" s="8">
        <v>617</v>
      </c>
      <c r="G734" t="s">
        <v>18</v>
      </c>
      <c r="H734" t="s">
        <v>19</v>
      </c>
      <c r="I734">
        <f>F734/E734</f>
        <v>0.19019728729963009</v>
      </c>
      <c r="J734">
        <f>YEAR(Table1[[#This Row],[Order Date]])</f>
        <v>2023</v>
      </c>
      <c r="K734" t="str">
        <f>TEXT(Table1[[#This Row],[Order Date]], "MMM")</f>
        <v>Sep</v>
      </c>
    </row>
    <row r="735" spans="1:11">
      <c r="A735">
        <v>1268</v>
      </c>
      <c r="B735" s="4" t="s">
        <v>276</v>
      </c>
      <c r="C735" t="s">
        <v>29</v>
      </c>
      <c r="D735" t="s">
        <v>22</v>
      </c>
      <c r="E735" s="8">
        <v>1401</v>
      </c>
      <c r="F735" s="8">
        <v>298</v>
      </c>
      <c r="G735" t="s">
        <v>18</v>
      </c>
      <c r="H735" t="s">
        <v>19</v>
      </c>
      <c r="I735">
        <f>F735/E735</f>
        <v>0.21270521056388295</v>
      </c>
      <c r="J735">
        <f>YEAR(Table1[[#This Row],[Order Date]])</f>
        <v>2023</v>
      </c>
      <c r="K735" t="str">
        <f>TEXT(Table1[[#This Row],[Order Date]], "MMM")</f>
        <v>Sep</v>
      </c>
    </row>
    <row r="736" spans="1:11">
      <c r="A736">
        <v>1416</v>
      </c>
      <c r="B736" s="4" t="s">
        <v>276</v>
      </c>
      <c r="C736" t="s">
        <v>17</v>
      </c>
      <c r="D736" t="s">
        <v>25</v>
      </c>
      <c r="E736" s="8">
        <v>2713</v>
      </c>
      <c r="F736" s="8">
        <v>657</v>
      </c>
      <c r="G736" t="s">
        <v>14</v>
      </c>
      <c r="H736" t="s">
        <v>15</v>
      </c>
      <c r="I736">
        <f>F736/E736</f>
        <v>0.24216734242535939</v>
      </c>
      <c r="J736">
        <f>YEAR(Table1[[#This Row],[Order Date]])</f>
        <v>2023</v>
      </c>
      <c r="K736" t="str">
        <f>TEXT(Table1[[#This Row],[Order Date]], "MMM")</f>
        <v>Sep</v>
      </c>
    </row>
    <row r="737" spans="1:11">
      <c r="A737">
        <v>1534</v>
      </c>
      <c r="B737" s="4" t="s">
        <v>276</v>
      </c>
      <c r="C737" t="s">
        <v>27</v>
      </c>
      <c r="D737" t="s">
        <v>22</v>
      </c>
      <c r="E737" s="8">
        <v>2703</v>
      </c>
      <c r="F737" s="8">
        <v>577</v>
      </c>
      <c r="G737" t="s">
        <v>30</v>
      </c>
      <c r="H737" t="s">
        <v>19</v>
      </c>
      <c r="I737">
        <f>F737/E737</f>
        <v>0.21346651868294489</v>
      </c>
      <c r="J737">
        <f>YEAR(Table1[[#This Row],[Order Date]])</f>
        <v>2023</v>
      </c>
      <c r="K737" t="str">
        <f>TEXT(Table1[[#This Row],[Order Date]], "MMM")</f>
        <v>Sep</v>
      </c>
    </row>
    <row r="738" spans="1:11">
      <c r="A738">
        <v>1698</v>
      </c>
      <c r="B738" s="4" t="s">
        <v>276</v>
      </c>
      <c r="C738" t="s">
        <v>24</v>
      </c>
      <c r="D738" t="s">
        <v>22</v>
      </c>
      <c r="E738" s="8">
        <v>690</v>
      </c>
      <c r="F738" s="8">
        <v>531</v>
      </c>
      <c r="G738" t="s">
        <v>30</v>
      </c>
      <c r="H738" t="s">
        <v>15</v>
      </c>
      <c r="I738">
        <f>F738/E738</f>
        <v>0.76956521739130435</v>
      </c>
      <c r="J738">
        <f>YEAR(Table1[[#This Row],[Order Date]])</f>
        <v>2023</v>
      </c>
      <c r="K738" t="str">
        <f>TEXT(Table1[[#This Row],[Order Date]], "MMM")</f>
        <v>Sep</v>
      </c>
    </row>
    <row r="739" spans="1:11">
      <c r="A739">
        <v>1352</v>
      </c>
      <c r="B739" s="4" t="s">
        <v>277</v>
      </c>
      <c r="C739" t="s">
        <v>17</v>
      </c>
      <c r="D739" t="s">
        <v>22</v>
      </c>
      <c r="E739" s="8">
        <v>1816</v>
      </c>
      <c r="F739" s="8">
        <v>145</v>
      </c>
      <c r="G739" t="s">
        <v>18</v>
      </c>
      <c r="H739" t="s">
        <v>15</v>
      </c>
      <c r="I739">
        <f>F739/E739</f>
        <v>7.9845814977973564E-2</v>
      </c>
      <c r="J739">
        <f>YEAR(Table1[[#This Row],[Order Date]])</f>
        <v>2023</v>
      </c>
      <c r="K739" t="str">
        <f>TEXT(Table1[[#This Row],[Order Date]], "MMM")</f>
        <v>Sep</v>
      </c>
    </row>
    <row r="740" spans="1:11">
      <c r="A740">
        <v>1430</v>
      </c>
      <c r="B740" s="4" t="s">
        <v>277</v>
      </c>
      <c r="C740" t="s">
        <v>29</v>
      </c>
      <c r="D740" t="s">
        <v>22</v>
      </c>
      <c r="E740" s="8">
        <v>3149</v>
      </c>
      <c r="F740" s="8">
        <v>927</v>
      </c>
      <c r="G740" t="s">
        <v>18</v>
      </c>
      <c r="H740" t="s">
        <v>15</v>
      </c>
      <c r="I740">
        <f>F740/E740</f>
        <v>0.29437916798983804</v>
      </c>
      <c r="J740">
        <f>YEAR(Table1[[#This Row],[Order Date]])</f>
        <v>2023</v>
      </c>
      <c r="K740" t="str">
        <f>TEXT(Table1[[#This Row],[Order Date]], "MMM")</f>
        <v>Sep</v>
      </c>
    </row>
    <row r="741" spans="1:11">
      <c r="A741">
        <v>1473</v>
      </c>
      <c r="B741" s="4" t="s">
        <v>277</v>
      </c>
      <c r="C741" t="s">
        <v>28</v>
      </c>
      <c r="D741" t="s">
        <v>13</v>
      </c>
      <c r="E741" s="8">
        <v>2562</v>
      </c>
      <c r="F741" s="8">
        <v>548</v>
      </c>
      <c r="G741" t="s">
        <v>30</v>
      </c>
      <c r="H741" t="s">
        <v>19</v>
      </c>
      <c r="I741">
        <f>F741/E741</f>
        <v>0.21389539422326306</v>
      </c>
      <c r="J741">
        <f>YEAR(Table1[[#This Row],[Order Date]])</f>
        <v>2023</v>
      </c>
      <c r="K741" t="str">
        <f>TEXT(Table1[[#This Row],[Order Date]], "MMM")</f>
        <v>Sep</v>
      </c>
    </row>
    <row r="742" spans="1:11">
      <c r="A742">
        <v>1674</v>
      </c>
      <c r="B742" s="4" t="s">
        <v>277</v>
      </c>
      <c r="C742" t="s">
        <v>21</v>
      </c>
      <c r="D742" t="s">
        <v>13</v>
      </c>
      <c r="E742" s="8">
        <v>2440</v>
      </c>
      <c r="F742" s="8">
        <v>891</v>
      </c>
      <c r="G742" t="s">
        <v>23</v>
      </c>
      <c r="H742" t="s">
        <v>15</v>
      </c>
      <c r="I742">
        <f>F742/E742</f>
        <v>0.36516393442622952</v>
      </c>
      <c r="J742">
        <f>YEAR(Table1[[#This Row],[Order Date]])</f>
        <v>2023</v>
      </c>
      <c r="K742" t="str">
        <f>TEXT(Table1[[#This Row],[Order Date]], "MMM")</f>
        <v>Sep</v>
      </c>
    </row>
    <row r="743" spans="1:11">
      <c r="A743">
        <v>1769</v>
      </c>
      <c r="B743" s="4" t="s">
        <v>277</v>
      </c>
      <c r="C743" t="s">
        <v>28</v>
      </c>
      <c r="D743" t="s">
        <v>25</v>
      </c>
      <c r="E743" s="8">
        <v>2173</v>
      </c>
      <c r="F743" s="8">
        <v>989</v>
      </c>
      <c r="G743" t="s">
        <v>18</v>
      </c>
      <c r="H743" t="s">
        <v>15</v>
      </c>
      <c r="I743">
        <f>F743/E743</f>
        <v>0.45513115508513574</v>
      </c>
      <c r="J743">
        <f>YEAR(Table1[[#This Row],[Order Date]])</f>
        <v>2023</v>
      </c>
      <c r="K743" t="str">
        <f>TEXT(Table1[[#This Row],[Order Date]], "MMM")</f>
        <v>Sep</v>
      </c>
    </row>
    <row r="744" spans="1:11">
      <c r="A744">
        <v>1064</v>
      </c>
      <c r="B744" s="4" t="s">
        <v>278</v>
      </c>
      <c r="C744" t="s">
        <v>21</v>
      </c>
      <c r="D744" t="s">
        <v>22</v>
      </c>
      <c r="E744" s="8">
        <v>4056</v>
      </c>
      <c r="F744" s="8">
        <v>537</v>
      </c>
      <c r="G744" t="s">
        <v>23</v>
      </c>
      <c r="H744" t="s">
        <v>15</v>
      </c>
      <c r="I744">
        <f>F744/E744</f>
        <v>0.13239644970414202</v>
      </c>
      <c r="J744">
        <f>YEAR(Table1[[#This Row],[Order Date]])</f>
        <v>2023</v>
      </c>
      <c r="K744" t="str">
        <f>TEXT(Table1[[#This Row],[Order Date]], "MMM")</f>
        <v>Sep</v>
      </c>
    </row>
    <row r="745" spans="1:11">
      <c r="A745">
        <v>1323</v>
      </c>
      <c r="B745" s="4" t="s">
        <v>278</v>
      </c>
      <c r="C745" t="s">
        <v>17</v>
      </c>
      <c r="D745" t="s">
        <v>25</v>
      </c>
      <c r="E745" s="8">
        <v>1238</v>
      </c>
      <c r="F745" s="8">
        <v>425</v>
      </c>
      <c r="G745" t="s">
        <v>18</v>
      </c>
      <c r="H745" t="s">
        <v>19</v>
      </c>
      <c r="I745">
        <f>F745/E745</f>
        <v>0.34329563812600972</v>
      </c>
      <c r="J745">
        <f>YEAR(Table1[[#This Row],[Order Date]])</f>
        <v>2023</v>
      </c>
      <c r="K745" t="str">
        <f>TEXT(Table1[[#This Row],[Order Date]], "MMM")</f>
        <v>Sep</v>
      </c>
    </row>
    <row r="746" spans="1:11">
      <c r="A746">
        <v>1291</v>
      </c>
      <c r="B746" s="4" t="s">
        <v>279</v>
      </c>
      <c r="C746" t="s">
        <v>17</v>
      </c>
      <c r="D746" t="s">
        <v>22</v>
      </c>
      <c r="E746" s="8">
        <v>1860</v>
      </c>
      <c r="F746" s="8">
        <v>826</v>
      </c>
      <c r="G746" t="s">
        <v>18</v>
      </c>
      <c r="H746" t="s">
        <v>15</v>
      </c>
      <c r="I746">
        <f>F746/E746</f>
        <v>0.44408602150537635</v>
      </c>
      <c r="J746">
        <f>YEAR(Table1[[#This Row],[Order Date]])</f>
        <v>2023</v>
      </c>
      <c r="K746" t="str">
        <f>TEXT(Table1[[#This Row],[Order Date]], "MMM")</f>
        <v>Sep</v>
      </c>
    </row>
    <row r="747" spans="1:11">
      <c r="A747">
        <v>1570</v>
      </c>
      <c r="B747" s="4" t="s">
        <v>280</v>
      </c>
      <c r="C747" t="s">
        <v>12</v>
      </c>
      <c r="D747" t="s">
        <v>25</v>
      </c>
      <c r="E747" s="8">
        <v>930</v>
      </c>
      <c r="F747" s="8">
        <v>268</v>
      </c>
      <c r="G747" t="s">
        <v>23</v>
      </c>
      <c r="H747" t="s">
        <v>15</v>
      </c>
      <c r="I747">
        <f>F747/E747</f>
        <v>0.28817204301075267</v>
      </c>
      <c r="J747">
        <f>YEAR(Table1[[#This Row],[Order Date]])</f>
        <v>2023</v>
      </c>
      <c r="K747" t="str">
        <f>TEXT(Table1[[#This Row],[Order Date]], "MMM")</f>
        <v>Sep</v>
      </c>
    </row>
    <row r="748" spans="1:11">
      <c r="A748">
        <v>1227</v>
      </c>
      <c r="B748" s="4" t="s">
        <v>281</v>
      </c>
      <c r="C748" t="s">
        <v>29</v>
      </c>
      <c r="D748" t="s">
        <v>13</v>
      </c>
      <c r="E748" s="8">
        <v>3403</v>
      </c>
      <c r="F748" s="8">
        <v>188</v>
      </c>
      <c r="G748" t="s">
        <v>14</v>
      </c>
      <c r="H748" t="s">
        <v>19</v>
      </c>
      <c r="I748">
        <f>F748/E748</f>
        <v>5.5245371730825742E-2</v>
      </c>
      <c r="J748">
        <f>YEAR(Table1[[#This Row],[Order Date]])</f>
        <v>2023</v>
      </c>
      <c r="K748" t="str">
        <f>TEXT(Table1[[#This Row],[Order Date]], "MMM")</f>
        <v>Sep</v>
      </c>
    </row>
    <row r="749" spans="1:11">
      <c r="A749">
        <v>1326</v>
      </c>
      <c r="B749" s="4" t="s">
        <v>281</v>
      </c>
      <c r="C749" t="s">
        <v>27</v>
      </c>
      <c r="D749" t="s">
        <v>22</v>
      </c>
      <c r="E749" s="8">
        <v>1620</v>
      </c>
      <c r="F749" s="8">
        <v>251</v>
      </c>
      <c r="G749" t="s">
        <v>14</v>
      </c>
      <c r="H749" t="s">
        <v>19</v>
      </c>
      <c r="I749">
        <f>F749/E749</f>
        <v>0.15493827160493828</v>
      </c>
      <c r="J749">
        <f>YEAR(Table1[[#This Row],[Order Date]])</f>
        <v>2023</v>
      </c>
      <c r="K749" t="str">
        <f>TEXT(Table1[[#This Row],[Order Date]], "MMM")</f>
        <v>Sep</v>
      </c>
    </row>
    <row r="750" spans="1:11">
      <c r="A750">
        <v>1362</v>
      </c>
      <c r="B750" s="4" t="s">
        <v>281</v>
      </c>
      <c r="C750" t="s">
        <v>28</v>
      </c>
      <c r="D750" t="s">
        <v>22</v>
      </c>
      <c r="E750" s="8">
        <v>1749</v>
      </c>
      <c r="F750" s="8">
        <v>143</v>
      </c>
      <c r="G750" t="s">
        <v>14</v>
      </c>
      <c r="H750" t="s">
        <v>15</v>
      </c>
      <c r="I750">
        <f>F750/E750</f>
        <v>8.1761006289308172E-2</v>
      </c>
      <c r="J750">
        <f>YEAR(Table1[[#This Row],[Order Date]])</f>
        <v>2023</v>
      </c>
      <c r="K750" t="str">
        <f>TEXT(Table1[[#This Row],[Order Date]], "MMM")</f>
        <v>Sep</v>
      </c>
    </row>
    <row r="751" spans="1:11">
      <c r="A751">
        <v>1863</v>
      </c>
      <c r="B751" s="4" t="s">
        <v>281</v>
      </c>
      <c r="C751" t="s">
        <v>29</v>
      </c>
      <c r="D751" t="s">
        <v>13</v>
      </c>
      <c r="E751" s="8">
        <v>4808</v>
      </c>
      <c r="F751" s="8">
        <v>90</v>
      </c>
      <c r="G751" t="s">
        <v>23</v>
      </c>
      <c r="H751" t="s">
        <v>15</v>
      </c>
      <c r="I751">
        <f>F751/E751</f>
        <v>1.8718801996672214E-2</v>
      </c>
      <c r="J751">
        <f>YEAR(Table1[[#This Row],[Order Date]])</f>
        <v>2023</v>
      </c>
      <c r="K751" t="str">
        <f>TEXT(Table1[[#This Row],[Order Date]], "MMM")</f>
        <v>Sep</v>
      </c>
    </row>
    <row r="752" spans="1:11">
      <c r="A752">
        <v>1956</v>
      </c>
      <c r="B752" s="4" t="s">
        <v>281</v>
      </c>
      <c r="C752" t="s">
        <v>28</v>
      </c>
      <c r="D752" t="s">
        <v>22</v>
      </c>
      <c r="E752" s="8">
        <v>4413</v>
      </c>
      <c r="F752" s="8">
        <v>834</v>
      </c>
      <c r="G752" t="s">
        <v>18</v>
      </c>
      <c r="H752" t="s">
        <v>15</v>
      </c>
      <c r="I752">
        <f>F752/E752</f>
        <v>0.18898708361658736</v>
      </c>
      <c r="J752">
        <f>YEAR(Table1[[#This Row],[Order Date]])</f>
        <v>2023</v>
      </c>
      <c r="K752" t="str">
        <f>TEXT(Table1[[#This Row],[Order Date]], "MMM")</f>
        <v>Sep</v>
      </c>
    </row>
    <row r="753" spans="1:11">
      <c r="A753">
        <v>1240</v>
      </c>
      <c r="B753" s="4" t="s">
        <v>282</v>
      </c>
      <c r="C753" t="s">
        <v>29</v>
      </c>
      <c r="D753" t="s">
        <v>25</v>
      </c>
      <c r="E753" s="8">
        <v>1274</v>
      </c>
      <c r="F753" s="8">
        <v>221</v>
      </c>
      <c r="G753" t="s">
        <v>23</v>
      </c>
      <c r="H753" t="s">
        <v>19</v>
      </c>
      <c r="I753">
        <f>F753/E753</f>
        <v>0.17346938775510204</v>
      </c>
      <c r="J753">
        <f>YEAR(Table1[[#This Row],[Order Date]])</f>
        <v>2023</v>
      </c>
      <c r="K753" t="str">
        <f>TEXT(Table1[[#This Row],[Order Date]], "MMM")</f>
        <v>Sep</v>
      </c>
    </row>
    <row r="754" spans="1:11">
      <c r="A754">
        <v>1397</v>
      </c>
      <c r="B754" s="4" t="s">
        <v>283</v>
      </c>
      <c r="C754" t="s">
        <v>24</v>
      </c>
      <c r="D754" t="s">
        <v>22</v>
      </c>
      <c r="E754" s="8">
        <v>2498</v>
      </c>
      <c r="F754" s="8">
        <v>724</v>
      </c>
      <c r="G754" t="s">
        <v>23</v>
      </c>
      <c r="H754" t="s">
        <v>19</v>
      </c>
      <c r="I754">
        <f>F754/E754</f>
        <v>0.28983186549239393</v>
      </c>
      <c r="J754">
        <f>YEAR(Table1[[#This Row],[Order Date]])</f>
        <v>2023</v>
      </c>
      <c r="K754" t="str">
        <f>TEXT(Table1[[#This Row],[Order Date]], "MMM")</f>
        <v>Sep</v>
      </c>
    </row>
    <row r="755" spans="1:11">
      <c r="A755">
        <v>1950</v>
      </c>
      <c r="B755" s="4" t="s">
        <v>283</v>
      </c>
      <c r="C755" t="s">
        <v>24</v>
      </c>
      <c r="D755" t="s">
        <v>22</v>
      </c>
      <c r="E755" s="8">
        <v>1233</v>
      </c>
      <c r="F755" s="8">
        <v>843</v>
      </c>
      <c r="G755" t="s">
        <v>14</v>
      </c>
      <c r="H755" t="s">
        <v>15</v>
      </c>
      <c r="I755">
        <f>F755/E755</f>
        <v>0.68369829683698302</v>
      </c>
      <c r="J755">
        <f>YEAR(Table1[[#This Row],[Order Date]])</f>
        <v>2023</v>
      </c>
      <c r="K755" t="str">
        <f>TEXT(Table1[[#This Row],[Order Date]], "MMM")</f>
        <v>Sep</v>
      </c>
    </row>
    <row r="756" spans="1:11">
      <c r="A756">
        <v>1828</v>
      </c>
      <c r="B756" s="4" t="s">
        <v>284</v>
      </c>
      <c r="C756" t="s">
        <v>28</v>
      </c>
      <c r="D756" t="s">
        <v>22</v>
      </c>
      <c r="E756" s="8">
        <v>277</v>
      </c>
      <c r="F756" s="8">
        <v>477</v>
      </c>
      <c r="G756" t="s">
        <v>18</v>
      </c>
      <c r="H756" t="s">
        <v>15</v>
      </c>
      <c r="I756">
        <f>F756/E756</f>
        <v>1.7220216606498195</v>
      </c>
      <c r="J756">
        <f>YEAR(Table1[[#This Row],[Order Date]])</f>
        <v>2023</v>
      </c>
      <c r="K756" t="str">
        <f>TEXT(Table1[[#This Row],[Order Date]], "MMM")</f>
        <v>Sep</v>
      </c>
    </row>
    <row r="757" spans="1:11">
      <c r="A757">
        <v>1041</v>
      </c>
      <c r="B757" s="4" t="s">
        <v>285</v>
      </c>
      <c r="C757" t="s">
        <v>17</v>
      </c>
      <c r="D757" t="s">
        <v>13</v>
      </c>
      <c r="E757" s="8">
        <v>2205</v>
      </c>
      <c r="F757" s="8">
        <v>637</v>
      </c>
      <c r="G757" t="s">
        <v>14</v>
      </c>
      <c r="H757" t="s">
        <v>15</v>
      </c>
      <c r="I757">
        <f>F757/E757</f>
        <v>0.28888888888888886</v>
      </c>
      <c r="J757">
        <f>YEAR(Table1[[#This Row],[Order Date]])</f>
        <v>2023</v>
      </c>
      <c r="K757" t="str">
        <f>TEXT(Table1[[#This Row],[Order Date]], "MMM")</f>
        <v>Oct</v>
      </c>
    </row>
    <row r="758" spans="1:11">
      <c r="A758">
        <v>1336</v>
      </c>
      <c r="B758" s="4" t="s">
        <v>285</v>
      </c>
      <c r="C758" t="s">
        <v>17</v>
      </c>
      <c r="D758" t="s">
        <v>22</v>
      </c>
      <c r="E758" s="8">
        <v>1064</v>
      </c>
      <c r="F758" s="8">
        <v>481</v>
      </c>
      <c r="G758" t="s">
        <v>14</v>
      </c>
      <c r="H758" t="s">
        <v>15</v>
      </c>
      <c r="I758">
        <f>F758/E758</f>
        <v>0.45206766917293234</v>
      </c>
      <c r="J758">
        <f>YEAR(Table1[[#This Row],[Order Date]])</f>
        <v>2023</v>
      </c>
      <c r="K758" t="str">
        <f>TEXT(Table1[[#This Row],[Order Date]], "MMM")</f>
        <v>Oct</v>
      </c>
    </row>
    <row r="759" spans="1:11">
      <c r="A759">
        <v>1400</v>
      </c>
      <c r="B759" s="4" t="s">
        <v>285</v>
      </c>
      <c r="C759" t="s">
        <v>28</v>
      </c>
      <c r="D759" t="s">
        <v>13</v>
      </c>
      <c r="E759" s="8">
        <v>2635</v>
      </c>
      <c r="F759" s="8">
        <v>913</v>
      </c>
      <c r="G759" t="s">
        <v>14</v>
      </c>
      <c r="H759" t="s">
        <v>15</v>
      </c>
      <c r="I759">
        <f>F759/E759</f>
        <v>0.34648956356736244</v>
      </c>
      <c r="J759">
        <f>YEAR(Table1[[#This Row],[Order Date]])</f>
        <v>2023</v>
      </c>
      <c r="K759" t="str">
        <f>TEXT(Table1[[#This Row],[Order Date]], "MMM")</f>
        <v>Oct</v>
      </c>
    </row>
    <row r="760" spans="1:11">
      <c r="A760">
        <v>1576</v>
      </c>
      <c r="B760" s="4" t="s">
        <v>285</v>
      </c>
      <c r="C760" t="s">
        <v>27</v>
      </c>
      <c r="D760" t="s">
        <v>22</v>
      </c>
      <c r="E760" s="8">
        <v>4533</v>
      </c>
      <c r="F760" s="8">
        <v>885</v>
      </c>
      <c r="G760" t="s">
        <v>23</v>
      </c>
      <c r="H760" t="s">
        <v>15</v>
      </c>
      <c r="I760">
        <f>F760/E760</f>
        <v>0.19523494374586367</v>
      </c>
      <c r="J760">
        <f>YEAR(Table1[[#This Row],[Order Date]])</f>
        <v>2023</v>
      </c>
      <c r="K760" t="str">
        <f>TEXT(Table1[[#This Row],[Order Date]], "MMM")</f>
        <v>Oct</v>
      </c>
    </row>
    <row r="761" spans="1:11">
      <c r="A761">
        <v>1096</v>
      </c>
      <c r="B761" s="4" t="s">
        <v>286</v>
      </c>
      <c r="C761" t="s">
        <v>21</v>
      </c>
      <c r="D761" t="s">
        <v>22</v>
      </c>
      <c r="E761" s="8">
        <v>975</v>
      </c>
      <c r="F761" s="8">
        <v>883</v>
      </c>
      <c r="G761" t="s">
        <v>23</v>
      </c>
      <c r="H761" t="s">
        <v>15</v>
      </c>
      <c r="I761">
        <f>F761/E761</f>
        <v>0.90564102564102567</v>
      </c>
      <c r="J761">
        <f>YEAR(Table1[[#This Row],[Order Date]])</f>
        <v>2023</v>
      </c>
      <c r="K761" t="str">
        <f>TEXT(Table1[[#This Row],[Order Date]], "MMM")</f>
        <v>Oct</v>
      </c>
    </row>
    <row r="762" spans="1:11">
      <c r="A762">
        <v>1256</v>
      </c>
      <c r="B762" s="4" t="s">
        <v>286</v>
      </c>
      <c r="C762" t="s">
        <v>28</v>
      </c>
      <c r="D762" t="s">
        <v>25</v>
      </c>
      <c r="E762" s="8">
        <v>900</v>
      </c>
      <c r="F762" s="8">
        <v>616</v>
      </c>
      <c r="G762" t="s">
        <v>30</v>
      </c>
      <c r="H762" t="s">
        <v>19</v>
      </c>
      <c r="I762">
        <f>F762/E762</f>
        <v>0.68444444444444441</v>
      </c>
      <c r="J762">
        <f>YEAR(Table1[[#This Row],[Order Date]])</f>
        <v>2023</v>
      </c>
      <c r="K762" t="str">
        <f>TEXT(Table1[[#This Row],[Order Date]], "MMM")</f>
        <v>Oct</v>
      </c>
    </row>
    <row r="763" spans="1:11">
      <c r="A763">
        <v>1332</v>
      </c>
      <c r="B763" s="4" t="s">
        <v>286</v>
      </c>
      <c r="C763" t="s">
        <v>28</v>
      </c>
      <c r="D763" t="s">
        <v>22</v>
      </c>
      <c r="E763" s="8">
        <v>681</v>
      </c>
      <c r="F763" s="8">
        <v>350</v>
      </c>
      <c r="G763" t="s">
        <v>23</v>
      </c>
      <c r="H763" t="s">
        <v>15</v>
      </c>
      <c r="I763">
        <f>F763/E763</f>
        <v>0.51395007342143906</v>
      </c>
      <c r="J763">
        <f>YEAR(Table1[[#This Row],[Order Date]])</f>
        <v>2023</v>
      </c>
      <c r="K763" t="str">
        <f>TEXT(Table1[[#This Row],[Order Date]], "MMM")</f>
        <v>Oct</v>
      </c>
    </row>
    <row r="764" spans="1:11">
      <c r="A764">
        <v>1463</v>
      </c>
      <c r="B764" s="4" t="s">
        <v>286</v>
      </c>
      <c r="C764" t="s">
        <v>17</v>
      </c>
      <c r="D764" t="s">
        <v>13</v>
      </c>
      <c r="E764" s="8">
        <v>2808</v>
      </c>
      <c r="F764" s="8">
        <v>982</v>
      </c>
      <c r="G764" t="s">
        <v>14</v>
      </c>
      <c r="H764" t="s">
        <v>19</v>
      </c>
      <c r="I764">
        <f>F764/E764</f>
        <v>0.34971509971509973</v>
      </c>
      <c r="J764">
        <f>YEAR(Table1[[#This Row],[Order Date]])</f>
        <v>2023</v>
      </c>
      <c r="K764" t="str">
        <f>TEXT(Table1[[#This Row],[Order Date]], "MMM")</f>
        <v>Oct</v>
      </c>
    </row>
    <row r="765" spans="1:11">
      <c r="A765">
        <v>1189</v>
      </c>
      <c r="B765" s="4" t="s">
        <v>287</v>
      </c>
      <c r="C765" t="s">
        <v>12</v>
      </c>
      <c r="D765" t="s">
        <v>22</v>
      </c>
      <c r="E765" s="8">
        <v>2286</v>
      </c>
      <c r="F765" s="8">
        <v>431</v>
      </c>
      <c r="G765" t="s">
        <v>23</v>
      </c>
      <c r="H765" t="s">
        <v>19</v>
      </c>
      <c r="I765">
        <f>F765/E765</f>
        <v>0.18853893263342084</v>
      </c>
      <c r="J765">
        <f>YEAR(Table1[[#This Row],[Order Date]])</f>
        <v>2023</v>
      </c>
      <c r="K765" t="str">
        <f>TEXT(Table1[[#This Row],[Order Date]], "MMM")</f>
        <v>Oct</v>
      </c>
    </row>
    <row r="766" spans="1:11">
      <c r="A766">
        <v>1669</v>
      </c>
      <c r="B766" s="4" t="s">
        <v>288</v>
      </c>
      <c r="C766" t="s">
        <v>12</v>
      </c>
      <c r="D766" t="s">
        <v>25</v>
      </c>
      <c r="E766" s="8">
        <v>182</v>
      </c>
      <c r="F766" s="8">
        <v>682</v>
      </c>
      <c r="G766" t="s">
        <v>30</v>
      </c>
      <c r="H766" t="s">
        <v>19</v>
      </c>
      <c r="I766">
        <f>F766/E766</f>
        <v>3.7472527472527473</v>
      </c>
      <c r="J766">
        <f>YEAR(Table1[[#This Row],[Order Date]])</f>
        <v>2023</v>
      </c>
      <c r="K766" t="str">
        <f>TEXT(Table1[[#This Row],[Order Date]], "MMM")</f>
        <v>Oct</v>
      </c>
    </row>
    <row r="767" spans="1:11">
      <c r="A767">
        <v>1915</v>
      </c>
      <c r="B767" s="4" t="s">
        <v>288</v>
      </c>
      <c r="C767" t="s">
        <v>17</v>
      </c>
      <c r="D767" t="s">
        <v>25</v>
      </c>
      <c r="E767" s="8">
        <v>327</v>
      </c>
      <c r="F767" s="8">
        <v>99</v>
      </c>
      <c r="G767" t="s">
        <v>30</v>
      </c>
      <c r="H767" t="s">
        <v>19</v>
      </c>
      <c r="I767">
        <f>F767/E767</f>
        <v>0.30275229357798167</v>
      </c>
      <c r="J767">
        <f>YEAR(Table1[[#This Row],[Order Date]])</f>
        <v>2023</v>
      </c>
      <c r="K767" t="str">
        <f>TEXT(Table1[[#This Row],[Order Date]], "MMM")</f>
        <v>Oct</v>
      </c>
    </row>
    <row r="768" spans="1:11">
      <c r="A768">
        <v>1206</v>
      </c>
      <c r="B768" s="4" t="s">
        <v>289</v>
      </c>
      <c r="C768" t="s">
        <v>24</v>
      </c>
      <c r="D768" t="s">
        <v>22</v>
      </c>
      <c r="E768" s="8">
        <v>4619</v>
      </c>
      <c r="F768" s="8">
        <v>567</v>
      </c>
      <c r="G768" t="s">
        <v>23</v>
      </c>
      <c r="H768" t="s">
        <v>15</v>
      </c>
      <c r="I768">
        <f>F768/E768</f>
        <v>0.12275384282312189</v>
      </c>
      <c r="J768">
        <f>YEAR(Table1[[#This Row],[Order Date]])</f>
        <v>2023</v>
      </c>
      <c r="K768" t="str">
        <f>TEXT(Table1[[#This Row],[Order Date]], "MMM")</f>
        <v>Oct</v>
      </c>
    </row>
    <row r="769" spans="1:11">
      <c r="A769">
        <v>1305</v>
      </c>
      <c r="B769" s="4" t="s">
        <v>289</v>
      </c>
      <c r="C769" t="s">
        <v>12</v>
      </c>
      <c r="D769" t="s">
        <v>22</v>
      </c>
      <c r="E769" s="8">
        <v>4879</v>
      </c>
      <c r="F769" s="8">
        <v>286</v>
      </c>
      <c r="G769" t="s">
        <v>23</v>
      </c>
      <c r="H769" t="s">
        <v>15</v>
      </c>
      <c r="I769">
        <f>F769/E769</f>
        <v>5.86185693789711E-2</v>
      </c>
      <c r="J769">
        <f>YEAR(Table1[[#This Row],[Order Date]])</f>
        <v>2023</v>
      </c>
      <c r="K769" t="str">
        <f>TEXT(Table1[[#This Row],[Order Date]], "MMM")</f>
        <v>Oct</v>
      </c>
    </row>
    <row r="770" spans="1:11">
      <c r="A770">
        <v>1445</v>
      </c>
      <c r="B770" s="4" t="s">
        <v>289</v>
      </c>
      <c r="C770" t="s">
        <v>21</v>
      </c>
      <c r="D770" t="s">
        <v>25</v>
      </c>
      <c r="E770" s="8">
        <v>3706</v>
      </c>
      <c r="F770" s="8">
        <v>454</v>
      </c>
      <c r="G770" t="s">
        <v>23</v>
      </c>
      <c r="H770" t="s">
        <v>15</v>
      </c>
      <c r="I770">
        <f>F770/E770</f>
        <v>0.12250404749055585</v>
      </c>
      <c r="J770">
        <f>YEAR(Table1[[#This Row],[Order Date]])</f>
        <v>2023</v>
      </c>
      <c r="K770" t="str">
        <f>TEXT(Table1[[#This Row],[Order Date]], "MMM")</f>
        <v>Oct</v>
      </c>
    </row>
    <row r="771" spans="1:11">
      <c r="A771">
        <v>1993</v>
      </c>
      <c r="B771" s="4" t="s">
        <v>289</v>
      </c>
      <c r="C771" t="s">
        <v>21</v>
      </c>
      <c r="D771" t="s">
        <v>13</v>
      </c>
      <c r="E771" s="8">
        <v>1157</v>
      </c>
      <c r="F771" s="8">
        <v>630</v>
      </c>
      <c r="G771" t="s">
        <v>30</v>
      </c>
      <c r="H771" t="s">
        <v>15</v>
      </c>
      <c r="I771">
        <f>F771/E771</f>
        <v>0.54451166810717377</v>
      </c>
      <c r="J771">
        <f>YEAR(Table1[[#This Row],[Order Date]])</f>
        <v>2023</v>
      </c>
      <c r="K771" t="str">
        <f>TEXT(Table1[[#This Row],[Order Date]], "MMM")</f>
        <v>Oct</v>
      </c>
    </row>
    <row r="772" spans="1:11">
      <c r="A772">
        <v>1086</v>
      </c>
      <c r="B772" s="4" t="s">
        <v>290</v>
      </c>
      <c r="C772" t="s">
        <v>21</v>
      </c>
      <c r="D772" t="s">
        <v>13</v>
      </c>
      <c r="E772" s="8">
        <v>1088</v>
      </c>
      <c r="F772" s="8">
        <v>290</v>
      </c>
      <c r="G772" t="s">
        <v>30</v>
      </c>
      <c r="H772" t="s">
        <v>19</v>
      </c>
      <c r="I772">
        <f>F772/E772</f>
        <v>0.26654411764705882</v>
      </c>
      <c r="J772">
        <f>YEAR(Table1[[#This Row],[Order Date]])</f>
        <v>2023</v>
      </c>
      <c r="K772" t="str">
        <f>TEXT(Table1[[#This Row],[Order Date]], "MMM")</f>
        <v>Oct</v>
      </c>
    </row>
    <row r="773" spans="1:11">
      <c r="A773">
        <v>1131</v>
      </c>
      <c r="B773" s="4" t="s">
        <v>290</v>
      </c>
      <c r="C773" t="s">
        <v>21</v>
      </c>
      <c r="D773" t="s">
        <v>22</v>
      </c>
      <c r="E773" s="8">
        <v>4469</v>
      </c>
      <c r="F773" s="8">
        <v>193</v>
      </c>
      <c r="G773" t="s">
        <v>23</v>
      </c>
      <c r="H773" t="s">
        <v>19</v>
      </c>
      <c r="I773">
        <f>F773/E773</f>
        <v>4.3186395166703959E-2</v>
      </c>
      <c r="J773">
        <f>YEAR(Table1[[#This Row],[Order Date]])</f>
        <v>2023</v>
      </c>
      <c r="K773" t="str">
        <f>TEXT(Table1[[#This Row],[Order Date]], "MMM")</f>
        <v>Oct</v>
      </c>
    </row>
    <row r="774" spans="1:11">
      <c r="A774">
        <v>1209</v>
      </c>
      <c r="B774" s="4" t="s">
        <v>290</v>
      </c>
      <c r="C774" t="s">
        <v>27</v>
      </c>
      <c r="D774" t="s">
        <v>22</v>
      </c>
      <c r="E774" s="8">
        <v>4113</v>
      </c>
      <c r="F774" s="8">
        <v>266</v>
      </c>
      <c r="G774" t="s">
        <v>30</v>
      </c>
      <c r="H774" t="s">
        <v>15</v>
      </c>
      <c r="I774">
        <f>F774/E774</f>
        <v>6.467298808655482E-2</v>
      </c>
      <c r="J774">
        <f>YEAR(Table1[[#This Row],[Order Date]])</f>
        <v>2023</v>
      </c>
      <c r="K774" t="str">
        <f>TEXT(Table1[[#This Row],[Order Date]], "MMM")</f>
        <v>Oct</v>
      </c>
    </row>
    <row r="775" spans="1:11">
      <c r="A775">
        <v>1316</v>
      </c>
      <c r="B775" s="4" t="s">
        <v>290</v>
      </c>
      <c r="C775" t="s">
        <v>17</v>
      </c>
      <c r="D775" t="s">
        <v>25</v>
      </c>
      <c r="E775" s="8">
        <v>3051</v>
      </c>
      <c r="F775" s="8">
        <v>274</v>
      </c>
      <c r="G775" t="s">
        <v>18</v>
      </c>
      <c r="H775" t="s">
        <v>19</v>
      </c>
      <c r="I775">
        <f>F775/E775</f>
        <v>8.9806620780072108E-2</v>
      </c>
      <c r="J775">
        <f>YEAR(Table1[[#This Row],[Order Date]])</f>
        <v>2023</v>
      </c>
      <c r="K775" t="str">
        <f>TEXT(Table1[[#This Row],[Order Date]], "MMM")</f>
        <v>Oct</v>
      </c>
    </row>
    <row r="776" spans="1:11">
      <c r="A776">
        <v>1637</v>
      </c>
      <c r="B776" s="4" t="s">
        <v>290</v>
      </c>
      <c r="C776" t="s">
        <v>24</v>
      </c>
      <c r="D776" t="s">
        <v>22</v>
      </c>
      <c r="E776" s="8">
        <v>1436</v>
      </c>
      <c r="F776" s="8">
        <v>525</v>
      </c>
      <c r="G776" t="s">
        <v>23</v>
      </c>
      <c r="H776" t="s">
        <v>15</v>
      </c>
      <c r="I776">
        <f>F776/E776</f>
        <v>0.36559888579387184</v>
      </c>
      <c r="J776">
        <f>YEAR(Table1[[#This Row],[Order Date]])</f>
        <v>2023</v>
      </c>
      <c r="K776" t="str">
        <f>TEXT(Table1[[#This Row],[Order Date]], "MMM")</f>
        <v>Oct</v>
      </c>
    </row>
    <row r="777" spans="1:11">
      <c r="A777">
        <v>1060</v>
      </c>
      <c r="B777" s="4" t="s">
        <v>291</v>
      </c>
      <c r="C777" t="s">
        <v>24</v>
      </c>
      <c r="D777" t="s">
        <v>25</v>
      </c>
      <c r="E777" s="8">
        <v>2929</v>
      </c>
      <c r="F777" s="8">
        <v>284</v>
      </c>
      <c r="G777" t="s">
        <v>30</v>
      </c>
      <c r="H777" t="s">
        <v>19</v>
      </c>
      <c r="I777">
        <f>F777/E777</f>
        <v>9.6961420279959035E-2</v>
      </c>
      <c r="J777">
        <f>YEAR(Table1[[#This Row],[Order Date]])</f>
        <v>2023</v>
      </c>
      <c r="K777" t="str">
        <f>TEXT(Table1[[#This Row],[Order Date]], "MMM")</f>
        <v>Oct</v>
      </c>
    </row>
    <row r="778" spans="1:11">
      <c r="A778">
        <v>1056</v>
      </c>
      <c r="B778" s="4" t="s">
        <v>292</v>
      </c>
      <c r="C778" t="s">
        <v>28</v>
      </c>
      <c r="D778" t="s">
        <v>13</v>
      </c>
      <c r="E778" s="8">
        <v>2346</v>
      </c>
      <c r="F778" s="8">
        <v>209</v>
      </c>
      <c r="G778" t="s">
        <v>14</v>
      </c>
      <c r="H778" t="s">
        <v>15</v>
      </c>
      <c r="I778">
        <f>F778/E778</f>
        <v>8.9087809036658139E-2</v>
      </c>
      <c r="J778">
        <f>YEAR(Table1[[#This Row],[Order Date]])</f>
        <v>2023</v>
      </c>
      <c r="K778" t="str">
        <f>TEXT(Table1[[#This Row],[Order Date]], "MMM")</f>
        <v>Oct</v>
      </c>
    </row>
    <row r="779" spans="1:11">
      <c r="A779">
        <v>1480</v>
      </c>
      <c r="B779" s="4" t="s">
        <v>292</v>
      </c>
      <c r="C779" t="s">
        <v>24</v>
      </c>
      <c r="D779" t="s">
        <v>25</v>
      </c>
      <c r="E779" s="8">
        <v>3777</v>
      </c>
      <c r="F779" s="8">
        <v>79</v>
      </c>
      <c r="G779" t="s">
        <v>18</v>
      </c>
      <c r="H779" t="s">
        <v>15</v>
      </c>
      <c r="I779">
        <f>F779/E779</f>
        <v>2.0916070955785016E-2</v>
      </c>
      <c r="J779">
        <f>YEAR(Table1[[#This Row],[Order Date]])</f>
        <v>2023</v>
      </c>
      <c r="K779" t="str">
        <f>TEXT(Table1[[#This Row],[Order Date]], "MMM")</f>
        <v>Oct</v>
      </c>
    </row>
    <row r="780" spans="1:11">
      <c r="A780">
        <v>1640</v>
      </c>
      <c r="B780" s="4" t="s">
        <v>292</v>
      </c>
      <c r="C780" t="s">
        <v>29</v>
      </c>
      <c r="D780" t="s">
        <v>22</v>
      </c>
      <c r="E780" s="8">
        <v>919</v>
      </c>
      <c r="F780" s="8">
        <v>407</v>
      </c>
      <c r="G780" t="s">
        <v>14</v>
      </c>
      <c r="H780" t="s">
        <v>19</v>
      </c>
      <c r="I780">
        <f>F780/E780</f>
        <v>0.4428726877040261</v>
      </c>
      <c r="J780">
        <f>YEAR(Table1[[#This Row],[Order Date]])</f>
        <v>2023</v>
      </c>
      <c r="K780" t="str">
        <f>TEXT(Table1[[#This Row],[Order Date]], "MMM")</f>
        <v>Oct</v>
      </c>
    </row>
    <row r="781" spans="1:11">
      <c r="A781">
        <v>1838</v>
      </c>
      <c r="B781" s="4" t="s">
        <v>292</v>
      </c>
      <c r="C781" t="s">
        <v>27</v>
      </c>
      <c r="D781" t="s">
        <v>13</v>
      </c>
      <c r="E781" s="8">
        <v>1878</v>
      </c>
      <c r="F781" s="8">
        <v>294</v>
      </c>
      <c r="G781" t="s">
        <v>30</v>
      </c>
      <c r="H781" t="s">
        <v>15</v>
      </c>
      <c r="I781">
        <f>F781/E781</f>
        <v>0.15654952076677317</v>
      </c>
      <c r="J781">
        <f>YEAR(Table1[[#This Row],[Order Date]])</f>
        <v>2023</v>
      </c>
      <c r="K781" t="str">
        <f>TEXT(Table1[[#This Row],[Order Date]], "MMM")</f>
        <v>Oct</v>
      </c>
    </row>
    <row r="782" spans="1:11">
      <c r="A782">
        <v>1237</v>
      </c>
      <c r="B782" s="4" t="s">
        <v>293</v>
      </c>
      <c r="C782" t="s">
        <v>27</v>
      </c>
      <c r="D782" t="s">
        <v>13</v>
      </c>
      <c r="E782" s="8">
        <v>3559</v>
      </c>
      <c r="F782" s="8">
        <v>785</v>
      </c>
      <c r="G782" t="s">
        <v>30</v>
      </c>
      <c r="H782" t="s">
        <v>19</v>
      </c>
      <c r="I782">
        <f>F782/E782</f>
        <v>0.22056757516156222</v>
      </c>
      <c r="J782">
        <f>YEAR(Table1[[#This Row],[Order Date]])</f>
        <v>2023</v>
      </c>
      <c r="K782" t="str">
        <f>TEXT(Table1[[#This Row],[Order Date]], "MMM")</f>
        <v>Oct</v>
      </c>
    </row>
    <row r="783" spans="1:11">
      <c r="A783">
        <v>1236</v>
      </c>
      <c r="B783" s="4" t="s">
        <v>294</v>
      </c>
      <c r="C783" t="s">
        <v>24</v>
      </c>
      <c r="D783" t="s">
        <v>13</v>
      </c>
      <c r="E783" s="8">
        <v>3191</v>
      </c>
      <c r="F783" s="8">
        <v>79</v>
      </c>
      <c r="G783" t="s">
        <v>14</v>
      </c>
      <c r="H783" t="s">
        <v>19</v>
      </c>
      <c r="I783">
        <f>F783/E783</f>
        <v>2.4757129426512064E-2</v>
      </c>
      <c r="J783">
        <f>YEAR(Table1[[#This Row],[Order Date]])</f>
        <v>2023</v>
      </c>
      <c r="K783" t="str">
        <f>TEXT(Table1[[#This Row],[Order Date]], "MMM")</f>
        <v>Oct</v>
      </c>
    </row>
    <row r="784" spans="1:11">
      <c r="A784">
        <v>1351</v>
      </c>
      <c r="B784" s="4" t="s">
        <v>295</v>
      </c>
      <c r="C784" t="s">
        <v>17</v>
      </c>
      <c r="D784" t="s">
        <v>13</v>
      </c>
      <c r="E784" s="8">
        <v>4651</v>
      </c>
      <c r="F784" s="8">
        <v>721</v>
      </c>
      <c r="G784" t="s">
        <v>23</v>
      </c>
      <c r="H784" t="s">
        <v>19</v>
      </c>
      <c r="I784">
        <f>F784/E784</f>
        <v>0.15502042571490002</v>
      </c>
      <c r="J784">
        <f>YEAR(Table1[[#This Row],[Order Date]])</f>
        <v>2023</v>
      </c>
      <c r="K784" t="str">
        <f>TEXT(Table1[[#This Row],[Order Date]], "MMM")</f>
        <v>Oct</v>
      </c>
    </row>
    <row r="785" spans="1:11">
      <c r="A785">
        <v>1474</v>
      </c>
      <c r="B785" s="4" t="s">
        <v>295</v>
      </c>
      <c r="C785" t="s">
        <v>21</v>
      </c>
      <c r="D785" t="s">
        <v>22</v>
      </c>
      <c r="E785" s="8">
        <v>4285</v>
      </c>
      <c r="F785" s="8">
        <v>847</v>
      </c>
      <c r="G785" t="s">
        <v>23</v>
      </c>
      <c r="H785" t="s">
        <v>15</v>
      </c>
      <c r="I785">
        <f>F785/E785</f>
        <v>0.19766627771295217</v>
      </c>
      <c r="J785">
        <f>YEAR(Table1[[#This Row],[Order Date]])</f>
        <v>2023</v>
      </c>
      <c r="K785" t="str">
        <f>TEXT(Table1[[#This Row],[Order Date]], "MMM")</f>
        <v>Oct</v>
      </c>
    </row>
    <row r="786" spans="1:11">
      <c r="A786">
        <v>1563</v>
      </c>
      <c r="B786" s="4" t="s">
        <v>295</v>
      </c>
      <c r="C786" t="s">
        <v>12</v>
      </c>
      <c r="D786" t="s">
        <v>13</v>
      </c>
      <c r="E786" s="8">
        <v>2075</v>
      </c>
      <c r="F786" s="8">
        <v>340</v>
      </c>
      <c r="G786" t="s">
        <v>18</v>
      </c>
      <c r="H786" t="s">
        <v>15</v>
      </c>
      <c r="I786">
        <f>F786/E786</f>
        <v>0.16385542168674699</v>
      </c>
      <c r="J786">
        <f>YEAR(Table1[[#This Row],[Order Date]])</f>
        <v>2023</v>
      </c>
      <c r="K786" t="str">
        <f>TEXT(Table1[[#This Row],[Order Date]], "MMM")</f>
        <v>Oct</v>
      </c>
    </row>
    <row r="787" spans="1:11">
      <c r="A787">
        <v>1625</v>
      </c>
      <c r="B787" s="4" t="s">
        <v>295</v>
      </c>
      <c r="C787" t="s">
        <v>12</v>
      </c>
      <c r="D787" t="s">
        <v>22</v>
      </c>
      <c r="E787" s="8">
        <v>4919</v>
      </c>
      <c r="F787" s="8">
        <v>42</v>
      </c>
      <c r="G787" t="s">
        <v>23</v>
      </c>
      <c r="H787" t="s">
        <v>19</v>
      </c>
      <c r="I787">
        <f>F787/E787</f>
        <v>8.5383207969099411E-3</v>
      </c>
      <c r="J787">
        <f>YEAR(Table1[[#This Row],[Order Date]])</f>
        <v>2023</v>
      </c>
      <c r="K787" t="str">
        <f>TEXT(Table1[[#This Row],[Order Date]], "MMM")</f>
        <v>Oct</v>
      </c>
    </row>
    <row r="788" spans="1:11">
      <c r="A788">
        <v>1702</v>
      </c>
      <c r="B788" s="4" t="s">
        <v>295</v>
      </c>
      <c r="C788" t="s">
        <v>21</v>
      </c>
      <c r="D788" t="s">
        <v>22</v>
      </c>
      <c r="E788" s="8">
        <v>2005</v>
      </c>
      <c r="F788" s="8">
        <v>541</v>
      </c>
      <c r="G788" t="s">
        <v>18</v>
      </c>
      <c r="H788" t="s">
        <v>15</v>
      </c>
      <c r="I788">
        <f>F788/E788</f>
        <v>0.26982543640897755</v>
      </c>
      <c r="J788">
        <f>YEAR(Table1[[#This Row],[Order Date]])</f>
        <v>2023</v>
      </c>
      <c r="K788" t="str">
        <f>TEXT(Table1[[#This Row],[Order Date]], "MMM")</f>
        <v>Oct</v>
      </c>
    </row>
    <row r="789" spans="1:11">
      <c r="A789">
        <v>1149</v>
      </c>
      <c r="B789" s="4" t="s">
        <v>296</v>
      </c>
      <c r="C789" t="s">
        <v>17</v>
      </c>
      <c r="D789" t="s">
        <v>22</v>
      </c>
      <c r="E789" s="8">
        <v>3530</v>
      </c>
      <c r="F789" s="8">
        <v>762</v>
      </c>
      <c r="G789" t="s">
        <v>14</v>
      </c>
      <c r="H789" t="s">
        <v>15</v>
      </c>
      <c r="I789">
        <f>F789/E789</f>
        <v>0.21586402266288951</v>
      </c>
      <c r="J789">
        <f>YEAR(Table1[[#This Row],[Order Date]])</f>
        <v>2023</v>
      </c>
      <c r="K789" t="str">
        <f>TEXT(Table1[[#This Row],[Order Date]], "MMM")</f>
        <v>Oct</v>
      </c>
    </row>
    <row r="790" spans="1:11">
      <c r="A790">
        <v>1321</v>
      </c>
      <c r="B790" s="4" t="s">
        <v>296</v>
      </c>
      <c r="C790" t="s">
        <v>28</v>
      </c>
      <c r="D790" t="s">
        <v>13</v>
      </c>
      <c r="E790" s="8">
        <v>4377</v>
      </c>
      <c r="F790" s="8">
        <v>223</v>
      </c>
      <c r="G790" t="s">
        <v>23</v>
      </c>
      <c r="H790" t="s">
        <v>15</v>
      </c>
      <c r="I790">
        <f>F790/E790</f>
        <v>5.094813799405986E-2</v>
      </c>
      <c r="J790">
        <f>YEAR(Table1[[#This Row],[Order Date]])</f>
        <v>2023</v>
      </c>
      <c r="K790" t="str">
        <f>TEXT(Table1[[#This Row],[Order Date]], "MMM")</f>
        <v>Oct</v>
      </c>
    </row>
    <row r="791" spans="1:11">
      <c r="A791">
        <v>1406</v>
      </c>
      <c r="B791" s="4" t="s">
        <v>296</v>
      </c>
      <c r="C791" t="s">
        <v>29</v>
      </c>
      <c r="D791" t="s">
        <v>13</v>
      </c>
      <c r="E791" s="8">
        <v>3213</v>
      </c>
      <c r="F791" s="8">
        <v>765</v>
      </c>
      <c r="G791" t="s">
        <v>18</v>
      </c>
      <c r="H791" t="s">
        <v>19</v>
      </c>
      <c r="I791">
        <f>F791/E791</f>
        <v>0.23809523809523808</v>
      </c>
      <c r="J791">
        <f>YEAR(Table1[[#This Row],[Order Date]])</f>
        <v>2023</v>
      </c>
      <c r="K791" t="str">
        <f>TEXT(Table1[[#This Row],[Order Date]], "MMM")</f>
        <v>Oct</v>
      </c>
    </row>
    <row r="792" spans="1:11">
      <c r="A792">
        <v>1830</v>
      </c>
      <c r="B792" s="4" t="s">
        <v>296</v>
      </c>
      <c r="C792" t="s">
        <v>21</v>
      </c>
      <c r="D792" t="s">
        <v>25</v>
      </c>
      <c r="E792" s="8">
        <v>2595</v>
      </c>
      <c r="F792" s="8">
        <v>893</v>
      </c>
      <c r="G792" t="s">
        <v>18</v>
      </c>
      <c r="H792" t="s">
        <v>15</v>
      </c>
      <c r="I792">
        <f>F792/E792</f>
        <v>0.34412331406551061</v>
      </c>
      <c r="J792">
        <f>YEAR(Table1[[#This Row],[Order Date]])</f>
        <v>2023</v>
      </c>
      <c r="K792" t="str">
        <f>TEXT(Table1[[#This Row],[Order Date]], "MMM")</f>
        <v>Oct</v>
      </c>
    </row>
    <row r="793" spans="1:11">
      <c r="A793">
        <v>1832</v>
      </c>
      <c r="B793" s="4" t="s">
        <v>296</v>
      </c>
      <c r="C793" t="s">
        <v>27</v>
      </c>
      <c r="D793" t="s">
        <v>13</v>
      </c>
      <c r="E793" s="8">
        <v>2338</v>
      </c>
      <c r="F793" s="8">
        <v>826</v>
      </c>
      <c r="G793" t="s">
        <v>23</v>
      </c>
      <c r="H793" t="s">
        <v>15</v>
      </c>
      <c r="I793">
        <f>F793/E793</f>
        <v>0.3532934131736527</v>
      </c>
      <c r="J793">
        <f>YEAR(Table1[[#This Row],[Order Date]])</f>
        <v>2023</v>
      </c>
      <c r="K793" t="str">
        <f>TEXT(Table1[[#This Row],[Order Date]], "MMM")</f>
        <v>Oct</v>
      </c>
    </row>
    <row r="794" spans="1:11">
      <c r="A794">
        <v>1263</v>
      </c>
      <c r="B794" s="4" t="s">
        <v>297</v>
      </c>
      <c r="C794" t="s">
        <v>29</v>
      </c>
      <c r="D794" t="s">
        <v>13</v>
      </c>
      <c r="E794" s="8">
        <v>3553</v>
      </c>
      <c r="F794" s="8">
        <v>526</v>
      </c>
      <c r="G794" t="s">
        <v>23</v>
      </c>
      <c r="H794" t="s">
        <v>15</v>
      </c>
      <c r="I794">
        <f>F794/E794</f>
        <v>0.14804390655783844</v>
      </c>
      <c r="J794">
        <f>YEAR(Table1[[#This Row],[Order Date]])</f>
        <v>2023</v>
      </c>
      <c r="K794" t="str">
        <f>TEXT(Table1[[#This Row],[Order Date]], "MMM")</f>
        <v>Oct</v>
      </c>
    </row>
    <row r="795" spans="1:11">
      <c r="A795">
        <v>1376</v>
      </c>
      <c r="B795" s="4" t="s">
        <v>297</v>
      </c>
      <c r="C795" t="s">
        <v>29</v>
      </c>
      <c r="D795" t="s">
        <v>22</v>
      </c>
      <c r="E795" s="8">
        <v>2138</v>
      </c>
      <c r="F795" s="8">
        <v>421</v>
      </c>
      <c r="G795" t="s">
        <v>18</v>
      </c>
      <c r="H795" t="s">
        <v>19</v>
      </c>
      <c r="I795">
        <f>F795/E795</f>
        <v>0.19691300280636109</v>
      </c>
      <c r="J795">
        <f>YEAR(Table1[[#This Row],[Order Date]])</f>
        <v>2023</v>
      </c>
      <c r="K795" t="str">
        <f>TEXT(Table1[[#This Row],[Order Date]], "MMM")</f>
        <v>Oct</v>
      </c>
    </row>
    <row r="796" spans="1:11">
      <c r="A796">
        <v>1679</v>
      </c>
      <c r="B796" s="4" t="s">
        <v>297</v>
      </c>
      <c r="C796" t="s">
        <v>21</v>
      </c>
      <c r="D796" t="s">
        <v>13</v>
      </c>
      <c r="E796" s="8">
        <v>4610</v>
      </c>
      <c r="F796" s="8">
        <v>245</v>
      </c>
      <c r="G796" t="s">
        <v>30</v>
      </c>
      <c r="H796" t="s">
        <v>15</v>
      </c>
      <c r="I796">
        <f>F796/E796</f>
        <v>5.3145336225596529E-2</v>
      </c>
      <c r="J796">
        <f>YEAR(Table1[[#This Row],[Order Date]])</f>
        <v>2023</v>
      </c>
      <c r="K796" t="str">
        <f>TEXT(Table1[[#This Row],[Order Date]], "MMM")</f>
        <v>Oct</v>
      </c>
    </row>
    <row r="797" spans="1:11">
      <c r="A797">
        <v>1003</v>
      </c>
      <c r="B797" s="4" t="s">
        <v>298</v>
      </c>
      <c r="C797" t="s">
        <v>29</v>
      </c>
      <c r="D797" t="s">
        <v>13</v>
      </c>
      <c r="E797" s="8">
        <v>908</v>
      </c>
      <c r="F797" s="8">
        <v>465</v>
      </c>
      <c r="G797" t="s">
        <v>18</v>
      </c>
      <c r="H797" t="s">
        <v>19</v>
      </c>
      <c r="I797">
        <f>F797/E797</f>
        <v>0.51211453744493396</v>
      </c>
      <c r="J797">
        <f>YEAR(Table1[[#This Row],[Order Date]])</f>
        <v>2023</v>
      </c>
      <c r="K797" t="str">
        <f>TEXT(Table1[[#This Row],[Order Date]], "MMM")</f>
        <v>Oct</v>
      </c>
    </row>
    <row r="798" spans="1:11">
      <c r="A798">
        <v>1028</v>
      </c>
      <c r="B798" s="4" t="s">
        <v>299</v>
      </c>
      <c r="C798" t="s">
        <v>21</v>
      </c>
      <c r="D798" t="s">
        <v>25</v>
      </c>
      <c r="E798" s="8">
        <v>1615</v>
      </c>
      <c r="F798" s="8">
        <v>740</v>
      </c>
      <c r="G798" t="s">
        <v>30</v>
      </c>
      <c r="H798" t="s">
        <v>15</v>
      </c>
      <c r="I798">
        <f>F798/E798</f>
        <v>0.45820433436532509</v>
      </c>
      <c r="J798">
        <f>YEAR(Table1[[#This Row],[Order Date]])</f>
        <v>2023</v>
      </c>
      <c r="K798" t="str">
        <f>TEXT(Table1[[#This Row],[Order Date]], "MMM")</f>
        <v>Oct</v>
      </c>
    </row>
    <row r="799" spans="1:11">
      <c r="A799">
        <v>1580</v>
      </c>
      <c r="B799" s="4" t="s">
        <v>299</v>
      </c>
      <c r="C799" t="s">
        <v>12</v>
      </c>
      <c r="D799" t="s">
        <v>22</v>
      </c>
      <c r="E799" s="8">
        <v>191</v>
      </c>
      <c r="F799" s="8">
        <v>126</v>
      </c>
      <c r="G799" t="s">
        <v>30</v>
      </c>
      <c r="H799" t="s">
        <v>15</v>
      </c>
      <c r="I799">
        <f>F799/E799</f>
        <v>0.65968586387434558</v>
      </c>
      <c r="J799">
        <f>YEAR(Table1[[#This Row],[Order Date]])</f>
        <v>2023</v>
      </c>
      <c r="K799" t="str">
        <f>TEXT(Table1[[#This Row],[Order Date]], "MMM")</f>
        <v>Oct</v>
      </c>
    </row>
    <row r="800" spans="1:11">
      <c r="A800">
        <v>1684</v>
      </c>
      <c r="B800" s="4" t="s">
        <v>299</v>
      </c>
      <c r="C800" t="s">
        <v>24</v>
      </c>
      <c r="D800" t="s">
        <v>22</v>
      </c>
      <c r="E800" s="8">
        <v>940</v>
      </c>
      <c r="F800" s="8">
        <v>764</v>
      </c>
      <c r="G800" t="s">
        <v>30</v>
      </c>
      <c r="H800" t="s">
        <v>19</v>
      </c>
      <c r="I800">
        <f>F800/E800</f>
        <v>0.81276595744680846</v>
      </c>
      <c r="J800">
        <f>YEAR(Table1[[#This Row],[Order Date]])</f>
        <v>2023</v>
      </c>
      <c r="K800" t="str">
        <f>TEXT(Table1[[#This Row],[Order Date]], "MMM")</f>
        <v>Oct</v>
      </c>
    </row>
    <row r="801" spans="1:11">
      <c r="A801">
        <v>1062</v>
      </c>
      <c r="B801" s="4" t="s">
        <v>300</v>
      </c>
      <c r="C801" t="s">
        <v>28</v>
      </c>
      <c r="D801" t="s">
        <v>25</v>
      </c>
      <c r="E801" s="8">
        <v>3553</v>
      </c>
      <c r="F801" s="8">
        <v>198</v>
      </c>
      <c r="G801" t="s">
        <v>23</v>
      </c>
      <c r="H801" t="s">
        <v>19</v>
      </c>
      <c r="I801">
        <f>F801/E801</f>
        <v>5.5727554179566562E-2</v>
      </c>
      <c r="J801">
        <f>YEAR(Table1[[#This Row],[Order Date]])</f>
        <v>2023</v>
      </c>
      <c r="K801" t="str">
        <f>TEXT(Table1[[#This Row],[Order Date]], "MMM")</f>
        <v>Oct</v>
      </c>
    </row>
    <row r="802" spans="1:11">
      <c r="A802">
        <v>1318</v>
      </c>
      <c r="B802" s="4" t="s">
        <v>300</v>
      </c>
      <c r="C802" t="s">
        <v>17</v>
      </c>
      <c r="D802" t="s">
        <v>22</v>
      </c>
      <c r="E802" s="8">
        <v>2960</v>
      </c>
      <c r="F802" s="8">
        <v>825</v>
      </c>
      <c r="G802" t="s">
        <v>14</v>
      </c>
      <c r="H802" t="s">
        <v>15</v>
      </c>
      <c r="I802">
        <f>F802/E802</f>
        <v>0.27871621621621623</v>
      </c>
      <c r="J802">
        <f>YEAR(Table1[[#This Row],[Order Date]])</f>
        <v>2023</v>
      </c>
      <c r="K802" t="str">
        <f>TEXT(Table1[[#This Row],[Order Date]], "MMM")</f>
        <v>Oct</v>
      </c>
    </row>
    <row r="803" spans="1:11">
      <c r="A803">
        <v>1500</v>
      </c>
      <c r="B803" s="4" t="s">
        <v>300</v>
      </c>
      <c r="C803" t="s">
        <v>24</v>
      </c>
      <c r="D803" t="s">
        <v>13</v>
      </c>
      <c r="E803" s="8">
        <v>869</v>
      </c>
      <c r="F803" s="8">
        <v>815</v>
      </c>
      <c r="G803" t="s">
        <v>18</v>
      </c>
      <c r="H803" t="s">
        <v>19</v>
      </c>
      <c r="I803">
        <f>F803/E803</f>
        <v>0.93785960874568475</v>
      </c>
      <c r="J803">
        <f>YEAR(Table1[[#This Row],[Order Date]])</f>
        <v>2023</v>
      </c>
      <c r="K803" t="str">
        <f>TEXT(Table1[[#This Row],[Order Date]], "MMM")</f>
        <v>Oct</v>
      </c>
    </row>
    <row r="804" spans="1:11">
      <c r="A804">
        <v>1678</v>
      </c>
      <c r="B804" s="4" t="s">
        <v>301</v>
      </c>
      <c r="C804" t="s">
        <v>21</v>
      </c>
      <c r="D804" t="s">
        <v>25</v>
      </c>
      <c r="E804" s="8">
        <v>2893</v>
      </c>
      <c r="F804" s="8">
        <v>830</v>
      </c>
      <c r="G804" t="s">
        <v>30</v>
      </c>
      <c r="H804" t="s">
        <v>15</v>
      </c>
      <c r="I804">
        <f>F804/E804</f>
        <v>0.28689941237469757</v>
      </c>
      <c r="J804">
        <f>YEAR(Table1[[#This Row],[Order Date]])</f>
        <v>2023</v>
      </c>
      <c r="K804" t="str">
        <f>TEXT(Table1[[#This Row],[Order Date]], "MMM")</f>
        <v>Oct</v>
      </c>
    </row>
    <row r="805" spans="1:11">
      <c r="A805">
        <v>1879</v>
      </c>
      <c r="B805" s="4" t="s">
        <v>301</v>
      </c>
      <c r="C805" t="s">
        <v>27</v>
      </c>
      <c r="D805" t="s">
        <v>13</v>
      </c>
      <c r="E805" s="8">
        <v>122</v>
      </c>
      <c r="F805" s="8">
        <v>805</v>
      </c>
      <c r="G805" t="s">
        <v>30</v>
      </c>
      <c r="H805" t="s">
        <v>15</v>
      </c>
      <c r="I805">
        <f>F805/E805</f>
        <v>6.5983606557377046</v>
      </c>
      <c r="J805">
        <f>YEAR(Table1[[#This Row],[Order Date]])</f>
        <v>2023</v>
      </c>
      <c r="K805" t="str">
        <f>TEXT(Table1[[#This Row],[Order Date]], "MMM")</f>
        <v>Oct</v>
      </c>
    </row>
    <row r="806" spans="1:11">
      <c r="A806">
        <v>1883</v>
      </c>
      <c r="B806" s="4" t="s">
        <v>301</v>
      </c>
      <c r="C806" t="s">
        <v>17</v>
      </c>
      <c r="D806" t="s">
        <v>25</v>
      </c>
      <c r="E806" s="8">
        <v>171</v>
      </c>
      <c r="F806" s="8">
        <v>436</v>
      </c>
      <c r="G806" t="s">
        <v>14</v>
      </c>
      <c r="H806" t="s">
        <v>19</v>
      </c>
      <c r="I806">
        <f>F806/E806</f>
        <v>2.5497076023391814</v>
      </c>
      <c r="J806">
        <f>YEAR(Table1[[#This Row],[Order Date]])</f>
        <v>2023</v>
      </c>
      <c r="K806" t="str">
        <f>TEXT(Table1[[#This Row],[Order Date]], "MMM")</f>
        <v>Oct</v>
      </c>
    </row>
    <row r="807" spans="1:11">
      <c r="A807">
        <v>1020</v>
      </c>
      <c r="B807" s="4" t="s">
        <v>302</v>
      </c>
      <c r="C807" t="s">
        <v>28</v>
      </c>
      <c r="D807" t="s">
        <v>13</v>
      </c>
      <c r="E807" s="8">
        <v>829</v>
      </c>
      <c r="F807" s="8">
        <v>684</v>
      </c>
      <c r="G807" t="s">
        <v>30</v>
      </c>
      <c r="H807" t="s">
        <v>19</v>
      </c>
      <c r="I807">
        <f>F807/E807</f>
        <v>0.82509047044632089</v>
      </c>
      <c r="J807">
        <f>YEAR(Table1[[#This Row],[Order Date]])</f>
        <v>2023</v>
      </c>
      <c r="K807" t="str">
        <f>TEXT(Table1[[#This Row],[Order Date]], "MMM")</f>
        <v>Oct</v>
      </c>
    </row>
    <row r="808" spans="1:11">
      <c r="A808">
        <v>1094</v>
      </c>
      <c r="B808" s="4" t="s">
        <v>302</v>
      </c>
      <c r="C808" t="s">
        <v>29</v>
      </c>
      <c r="D808" t="s">
        <v>25</v>
      </c>
      <c r="E808" s="8">
        <v>3280</v>
      </c>
      <c r="F808" s="8">
        <v>976</v>
      </c>
      <c r="G808" t="s">
        <v>14</v>
      </c>
      <c r="H808" t="s">
        <v>15</v>
      </c>
      <c r="I808">
        <f>F808/E808</f>
        <v>0.29756097560975608</v>
      </c>
      <c r="J808">
        <f>YEAR(Table1[[#This Row],[Order Date]])</f>
        <v>2023</v>
      </c>
      <c r="K808" t="str">
        <f>TEXT(Table1[[#This Row],[Order Date]], "MMM")</f>
        <v>Oct</v>
      </c>
    </row>
    <row r="809" spans="1:11">
      <c r="A809">
        <v>1257</v>
      </c>
      <c r="B809" s="4" t="s">
        <v>302</v>
      </c>
      <c r="C809" t="s">
        <v>28</v>
      </c>
      <c r="D809" t="s">
        <v>13</v>
      </c>
      <c r="E809" s="8">
        <v>1940</v>
      </c>
      <c r="F809" s="8">
        <v>867</v>
      </c>
      <c r="G809" t="s">
        <v>14</v>
      </c>
      <c r="H809" t="s">
        <v>19</v>
      </c>
      <c r="I809">
        <f>F809/E809</f>
        <v>0.44690721649484538</v>
      </c>
      <c r="J809">
        <f>YEAR(Table1[[#This Row],[Order Date]])</f>
        <v>2023</v>
      </c>
      <c r="K809" t="str">
        <f>TEXT(Table1[[#This Row],[Order Date]], "MMM")</f>
        <v>Oct</v>
      </c>
    </row>
    <row r="810" spans="1:11">
      <c r="A810">
        <v>1289</v>
      </c>
      <c r="B810" s="4" t="s">
        <v>302</v>
      </c>
      <c r="C810" t="s">
        <v>17</v>
      </c>
      <c r="D810" t="s">
        <v>22</v>
      </c>
      <c r="E810" s="8">
        <v>909</v>
      </c>
      <c r="F810" s="8">
        <v>700</v>
      </c>
      <c r="G810" t="s">
        <v>18</v>
      </c>
      <c r="H810" t="s">
        <v>19</v>
      </c>
      <c r="I810">
        <f>F810/E810</f>
        <v>0.77007700770077003</v>
      </c>
      <c r="J810">
        <f>YEAR(Table1[[#This Row],[Order Date]])</f>
        <v>2023</v>
      </c>
      <c r="K810" t="str">
        <f>TEXT(Table1[[#This Row],[Order Date]], "MMM")</f>
        <v>Oct</v>
      </c>
    </row>
    <row r="811" spans="1:11">
      <c r="A811">
        <v>1228</v>
      </c>
      <c r="B811" s="4" t="s">
        <v>303</v>
      </c>
      <c r="C811" t="s">
        <v>27</v>
      </c>
      <c r="D811" t="s">
        <v>22</v>
      </c>
      <c r="E811" s="8">
        <v>4788</v>
      </c>
      <c r="F811" s="8">
        <v>319</v>
      </c>
      <c r="G811" t="s">
        <v>14</v>
      </c>
      <c r="H811" t="s">
        <v>19</v>
      </c>
      <c r="I811">
        <f>F811/E811</f>
        <v>6.662489557226399E-2</v>
      </c>
      <c r="J811">
        <f>YEAR(Table1[[#This Row],[Order Date]])</f>
        <v>2023</v>
      </c>
      <c r="K811" t="str">
        <f>TEXT(Table1[[#This Row],[Order Date]], "MMM")</f>
        <v>Oct</v>
      </c>
    </row>
    <row r="812" spans="1:11">
      <c r="A812">
        <v>1359</v>
      </c>
      <c r="B812" s="4" t="s">
        <v>303</v>
      </c>
      <c r="C812" t="s">
        <v>21</v>
      </c>
      <c r="D812" t="s">
        <v>22</v>
      </c>
      <c r="E812" s="8">
        <v>3384</v>
      </c>
      <c r="F812" s="8">
        <v>653</v>
      </c>
      <c r="G812" t="s">
        <v>18</v>
      </c>
      <c r="H812" t="s">
        <v>15</v>
      </c>
      <c r="I812">
        <f>F812/E812</f>
        <v>0.19296690307328604</v>
      </c>
      <c r="J812">
        <f>YEAR(Table1[[#This Row],[Order Date]])</f>
        <v>2023</v>
      </c>
      <c r="K812" t="str">
        <f>TEXT(Table1[[#This Row],[Order Date]], "MMM")</f>
        <v>Oct</v>
      </c>
    </row>
    <row r="813" spans="1:11">
      <c r="A813">
        <v>1845</v>
      </c>
      <c r="B813" s="4" t="s">
        <v>303</v>
      </c>
      <c r="C813" t="s">
        <v>17</v>
      </c>
      <c r="D813" t="s">
        <v>13</v>
      </c>
      <c r="E813" s="8">
        <v>4813</v>
      </c>
      <c r="F813" s="8">
        <v>666</v>
      </c>
      <c r="G813" t="s">
        <v>14</v>
      </c>
      <c r="H813" t="s">
        <v>19</v>
      </c>
      <c r="I813">
        <f>F813/E813</f>
        <v>0.13837523374194888</v>
      </c>
      <c r="J813">
        <f>YEAR(Table1[[#This Row],[Order Date]])</f>
        <v>2023</v>
      </c>
      <c r="K813" t="str">
        <f>TEXT(Table1[[#This Row],[Order Date]], "MMM")</f>
        <v>Oct</v>
      </c>
    </row>
    <row r="814" spans="1:11">
      <c r="A814">
        <v>1916</v>
      </c>
      <c r="B814" s="4" t="s">
        <v>303</v>
      </c>
      <c r="C814" t="s">
        <v>12</v>
      </c>
      <c r="D814" t="s">
        <v>22</v>
      </c>
      <c r="E814" s="8">
        <v>1254</v>
      </c>
      <c r="F814" s="8">
        <v>634</v>
      </c>
      <c r="G814" t="s">
        <v>18</v>
      </c>
      <c r="H814" t="s">
        <v>19</v>
      </c>
      <c r="I814">
        <f>F814/E814</f>
        <v>0.50558213716108458</v>
      </c>
      <c r="J814">
        <f>YEAR(Table1[[#This Row],[Order Date]])</f>
        <v>2023</v>
      </c>
      <c r="K814" t="str">
        <f>TEXT(Table1[[#This Row],[Order Date]], "MMM")</f>
        <v>Oct</v>
      </c>
    </row>
    <row r="815" spans="1:11">
      <c r="A815">
        <v>1204</v>
      </c>
      <c r="B815" s="4" t="s">
        <v>304</v>
      </c>
      <c r="C815" t="s">
        <v>12</v>
      </c>
      <c r="D815" t="s">
        <v>13</v>
      </c>
      <c r="E815" s="8">
        <v>4845</v>
      </c>
      <c r="F815" s="8">
        <v>922</v>
      </c>
      <c r="G815" t="s">
        <v>30</v>
      </c>
      <c r="H815" t="s">
        <v>15</v>
      </c>
      <c r="I815">
        <f>F815/E815</f>
        <v>0.19029927760577917</v>
      </c>
      <c r="J815">
        <f>YEAR(Table1[[#This Row],[Order Date]])</f>
        <v>2023</v>
      </c>
      <c r="K815" t="str">
        <f>TEXT(Table1[[#This Row],[Order Date]], "MMM")</f>
        <v>Oct</v>
      </c>
    </row>
    <row r="816" spans="1:11">
      <c r="A816">
        <v>1271</v>
      </c>
      <c r="B816" s="4" t="s">
        <v>304</v>
      </c>
      <c r="C816" t="s">
        <v>17</v>
      </c>
      <c r="D816" t="s">
        <v>13</v>
      </c>
      <c r="E816" s="8">
        <v>141</v>
      </c>
      <c r="F816" s="8">
        <v>180</v>
      </c>
      <c r="G816" t="s">
        <v>30</v>
      </c>
      <c r="H816" t="s">
        <v>15</v>
      </c>
      <c r="I816">
        <f>F816/E816</f>
        <v>1.2765957446808511</v>
      </c>
      <c r="J816">
        <f>YEAR(Table1[[#This Row],[Order Date]])</f>
        <v>2023</v>
      </c>
      <c r="K816" t="str">
        <f>TEXT(Table1[[#This Row],[Order Date]], "MMM")</f>
        <v>Oct</v>
      </c>
    </row>
    <row r="817" spans="1:11">
      <c r="A817">
        <v>1700</v>
      </c>
      <c r="B817" s="4" t="s">
        <v>304</v>
      </c>
      <c r="C817" t="s">
        <v>17</v>
      </c>
      <c r="D817" t="s">
        <v>25</v>
      </c>
      <c r="E817" s="8">
        <v>3836</v>
      </c>
      <c r="F817" s="8">
        <v>774</v>
      </c>
      <c r="G817" t="s">
        <v>18</v>
      </c>
      <c r="H817" t="s">
        <v>15</v>
      </c>
      <c r="I817">
        <f>F817/E817</f>
        <v>0.20177267987486966</v>
      </c>
      <c r="J817">
        <f>YEAR(Table1[[#This Row],[Order Date]])</f>
        <v>2023</v>
      </c>
      <c r="K817" t="str">
        <f>TEXT(Table1[[#This Row],[Order Date]], "MMM")</f>
        <v>Oct</v>
      </c>
    </row>
    <row r="818" spans="1:11">
      <c r="A818">
        <v>1477</v>
      </c>
      <c r="B818" s="4" t="s">
        <v>305</v>
      </c>
      <c r="C818" t="s">
        <v>28</v>
      </c>
      <c r="D818" t="s">
        <v>25</v>
      </c>
      <c r="E818" s="8">
        <v>2484</v>
      </c>
      <c r="F818" s="8">
        <v>872</v>
      </c>
      <c r="G818" t="s">
        <v>23</v>
      </c>
      <c r="H818" t="s">
        <v>15</v>
      </c>
      <c r="I818">
        <f>F818/E818</f>
        <v>0.35104669887278583</v>
      </c>
      <c r="J818">
        <f>YEAR(Table1[[#This Row],[Order Date]])</f>
        <v>2023</v>
      </c>
      <c r="K818" t="str">
        <f>TEXT(Table1[[#This Row],[Order Date]], "MMM")</f>
        <v>Oct</v>
      </c>
    </row>
    <row r="819" spans="1:11">
      <c r="A819">
        <v>1181</v>
      </c>
      <c r="B819" s="4" t="s">
        <v>306</v>
      </c>
      <c r="C819" t="s">
        <v>12</v>
      </c>
      <c r="D819" t="s">
        <v>25</v>
      </c>
      <c r="E819" s="8">
        <v>3750</v>
      </c>
      <c r="F819" s="8">
        <v>464</v>
      </c>
      <c r="G819" t="s">
        <v>23</v>
      </c>
      <c r="H819" t="s">
        <v>19</v>
      </c>
      <c r="I819">
        <f>F819/E819</f>
        <v>0.12373333333333333</v>
      </c>
      <c r="J819">
        <f>YEAR(Table1[[#This Row],[Order Date]])</f>
        <v>2023</v>
      </c>
      <c r="K819" t="str">
        <f>TEXT(Table1[[#This Row],[Order Date]], "MMM")</f>
        <v>Oct</v>
      </c>
    </row>
    <row r="820" spans="1:11">
      <c r="A820">
        <v>1243</v>
      </c>
      <c r="B820" s="4" t="s">
        <v>306</v>
      </c>
      <c r="C820" t="s">
        <v>24</v>
      </c>
      <c r="D820" t="s">
        <v>13</v>
      </c>
      <c r="E820" s="8">
        <v>4777</v>
      </c>
      <c r="F820" s="8">
        <v>159</v>
      </c>
      <c r="G820" t="s">
        <v>23</v>
      </c>
      <c r="H820" t="s">
        <v>19</v>
      </c>
      <c r="I820">
        <f>F820/E820</f>
        <v>3.3284488172493194E-2</v>
      </c>
      <c r="J820">
        <f>YEAR(Table1[[#This Row],[Order Date]])</f>
        <v>2023</v>
      </c>
      <c r="K820" t="str">
        <f>TEXT(Table1[[#This Row],[Order Date]], "MMM")</f>
        <v>Oct</v>
      </c>
    </row>
    <row r="821" spans="1:11">
      <c r="A821">
        <v>1906</v>
      </c>
      <c r="B821" s="4" t="s">
        <v>307</v>
      </c>
      <c r="C821" t="s">
        <v>12</v>
      </c>
      <c r="D821" t="s">
        <v>25</v>
      </c>
      <c r="E821" s="8">
        <v>3184</v>
      </c>
      <c r="F821" s="8">
        <v>932</v>
      </c>
      <c r="G821" t="s">
        <v>30</v>
      </c>
      <c r="H821" t="s">
        <v>15</v>
      </c>
      <c r="I821">
        <f>F821/E821</f>
        <v>0.292713567839196</v>
      </c>
      <c r="J821">
        <f>YEAR(Table1[[#This Row],[Order Date]])</f>
        <v>2023</v>
      </c>
      <c r="K821" t="str">
        <f>TEXT(Table1[[#This Row],[Order Date]], "MMM")</f>
        <v>Oct</v>
      </c>
    </row>
    <row r="822" spans="1:11">
      <c r="A822">
        <v>1968</v>
      </c>
      <c r="B822" s="4" t="s">
        <v>307</v>
      </c>
      <c r="C822" t="s">
        <v>24</v>
      </c>
      <c r="D822" t="s">
        <v>22</v>
      </c>
      <c r="E822" s="8">
        <v>2364</v>
      </c>
      <c r="F822" s="8">
        <v>253</v>
      </c>
      <c r="G822" t="s">
        <v>23</v>
      </c>
      <c r="H822" t="s">
        <v>15</v>
      </c>
      <c r="I822">
        <f>F822/E822</f>
        <v>0.10702199661590525</v>
      </c>
      <c r="J822">
        <f>YEAR(Table1[[#This Row],[Order Date]])</f>
        <v>2023</v>
      </c>
      <c r="K822" t="str">
        <f>TEXT(Table1[[#This Row],[Order Date]], "MMM")</f>
        <v>Oct</v>
      </c>
    </row>
    <row r="823" spans="1:11">
      <c r="A823">
        <v>1626</v>
      </c>
      <c r="B823" s="4" t="s">
        <v>308</v>
      </c>
      <c r="C823" t="s">
        <v>17</v>
      </c>
      <c r="D823" t="s">
        <v>25</v>
      </c>
      <c r="E823" s="8">
        <v>4350</v>
      </c>
      <c r="F823" s="8">
        <v>190</v>
      </c>
      <c r="G823" t="s">
        <v>14</v>
      </c>
      <c r="H823" t="s">
        <v>15</v>
      </c>
      <c r="I823">
        <f>F823/E823</f>
        <v>4.3678160919540229E-2</v>
      </c>
      <c r="J823">
        <f>YEAR(Table1[[#This Row],[Order Date]])</f>
        <v>2023</v>
      </c>
      <c r="K823" t="str">
        <f>TEXT(Table1[[#This Row],[Order Date]], "MMM")</f>
        <v>Oct</v>
      </c>
    </row>
    <row r="824" spans="1:11">
      <c r="A824">
        <v>1695</v>
      </c>
      <c r="B824" s="4" t="s">
        <v>308</v>
      </c>
      <c r="C824" t="s">
        <v>29</v>
      </c>
      <c r="D824" t="s">
        <v>13</v>
      </c>
      <c r="E824" s="8">
        <v>2857</v>
      </c>
      <c r="F824" s="8">
        <v>20</v>
      </c>
      <c r="G824" t="s">
        <v>23</v>
      </c>
      <c r="H824" t="s">
        <v>19</v>
      </c>
      <c r="I824">
        <f>F824/E824</f>
        <v>7.0003500175008747E-3</v>
      </c>
      <c r="J824">
        <f>YEAR(Table1[[#This Row],[Order Date]])</f>
        <v>2023</v>
      </c>
      <c r="K824" t="str">
        <f>TEXT(Table1[[#This Row],[Order Date]], "MMM")</f>
        <v>Oct</v>
      </c>
    </row>
    <row r="825" spans="1:11">
      <c r="A825">
        <v>1701</v>
      </c>
      <c r="B825" s="4" t="s">
        <v>308</v>
      </c>
      <c r="C825" t="s">
        <v>29</v>
      </c>
      <c r="D825" t="s">
        <v>25</v>
      </c>
      <c r="E825" s="8">
        <v>2893</v>
      </c>
      <c r="F825" s="8">
        <v>59</v>
      </c>
      <c r="G825" t="s">
        <v>18</v>
      </c>
      <c r="H825" t="s">
        <v>19</v>
      </c>
      <c r="I825">
        <f>F825/E825</f>
        <v>2.0394054614586935E-2</v>
      </c>
      <c r="J825">
        <f>YEAR(Table1[[#This Row],[Order Date]])</f>
        <v>2023</v>
      </c>
      <c r="K825" t="str">
        <f>TEXT(Table1[[#This Row],[Order Date]], "MMM")</f>
        <v>Oct</v>
      </c>
    </row>
    <row r="826" spans="1:11">
      <c r="A826">
        <v>1148</v>
      </c>
      <c r="B826" s="4" t="s">
        <v>309</v>
      </c>
      <c r="C826" t="s">
        <v>24</v>
      </c>
      <c r="D826" t="s">
        <v>13</v>
      </c>
      <c r="E826" s="8">
        <v>1304</v>
      </c>
      <c r="F826" s="8">
        <v>992</v>
      </c>
      <c r="G826" t="s">
        <v>30</v>
      </c>
      <c r="H826" t="s">
        <v>19</v>
      </c>
      <c r="I826">
        <f>F826/E826</f>
        <v>0.76073619631901845</v>
      </c>
      <c r="J826">
        <f>YEAR(Table1[[#This Row],[Order Date]])</f>
        <v>2023</v>
      </c>
      <c r="K826" t="str">
        <f>TEXT(Table1[[#This Row],[Order Date]], "MMM")</f>
        <v>Oct</v>
      </c>
    </row>
    <row r="827" spans="1:11">
      <c r="A827">
        <v>1653</v>
      </c>
      <c r="B827" s="4" t="s">
        <v>309</v>
      </c>
      <c r="C827" t="s">
        <v>21</v>
      </c>
      <c r="D827" t="s">
        <v>25</v>
      </c>
      <c r="E827" s="8">
        <v>1863</v>
      </c>
      <c r="F827" s="8">
        <v>335</v>
      </c>
      <c r="G827" t="s">
        <v>30</v>
      </c>
      <c r="H827" t="s">
        <v>15</v>
      </c>
      <c r="I827">
        <f>F827/E827</f>
        <v>0.17981749865807836</v>
      </c>
      <c r="J827">
        <f>YEAR(Table1[[#This Row],[Order Date]])</f>
        <v>2023</v>
      </c>
      <c r="K827" t="str">
        <f>TEXT(Table1[[#This Row],[Order Date]], "MMM")</f>
        <v>Oct</v>
      </c>
    </row>
    <row r="828" spans="1:11">
      <c r="A828">
        <v>1944</v>
      </c>
      <c r="B828" s="4" t="s">
        <v>309</v>
      </c>
      <c r="C828" t="s">
        <v>21</v>
      </c>
      <c r="D828" t="s">
        <v>25</v>
      </c>
      <c r="E828" s="8">
        <v>4242</v>
      </c>
      <c r="F828" s="8">
        <v>444</v>
      </c>
      <c r="G828" t="s">
        <v>14</v>
      </c>
      <c r="H828" t="s">
        <v>15</v>
      </c>
      <c r="I828">
        <f>F828/E828</f>
        <v>0.10466760961810467</v>
      </c>
      <c r="J828">
        <f>YEAR(Table1[[#This Row],[Order Date]])</f>
        <v>2023</v>
      </c>
      <c r="K828" t="str">
        <f>TEXT(Table1[[#This Row],[Order Date]], "MMM")</f>
        <v>Oct</v>
      </c>
    </row>
    <row r="829" spans="1:11">
      <c r="A829">
        <v>1187</v>
      </c>
      <c r="B829" s="4" t="s">
        <v>310</v>
      </c>
      <c r="C829" t="s">
        <v>28</v>
      </c>
      <c r="D829" t="s">
        <v>25</v>
      </c>
      <c r="E829" s="8">
        <v>4795</v>
      </c>
      <c r="F829" s="8">
        <v>878</v>
      </c>
      <c r="G829" t="s">
        <v>14</v>
      </c>
      <c r="H829" t="s">
        <v>19</v>
      </c>
      <c r="I829">
        <f>F829/E829</f>
        <v>0.18310740354535976</v>
      </c>
      <c r="J829">
        <f>YEAR(Table1[[#This Row],[Order Date]])</f>
        <v>2023</v>
      </c>
      <c r="K829" t="str">
        <f>TEXT(Table1[[#This Row],[Order Date]], "MMM")</f>
        <v>Oct</v>
      </c>
    </row>
    <row r="830" spans="1:11">
      <c r="A830">
        <v>1290</v>
      </c>
      <c r="B830" s="4" t="s">
        <v>310</v>
      </c>
      <c r="C830" t="s">
        <v>24</v>
      </c>
      <c r="D830" t="s">
        <v>25</v>
      </c>
      <c r="E830" s="8">
        <v>283</v>
      </c>
      <c r="F830" s="8">
        <v>577</v>
      </c>
      <c r="G830" t="s">
        <v>18</v>
      </c>
      <c r="H830" t="s">
        <v>15</v>
      </c>
      <c r="I830">
        <f>F830/E830</f>
        <v>2.0388692579505299</v>
      </c>
      <c r="J830">
        <f>YEAR(Table1[[#This Row],[Order Date]])</f>
        <v>2023</v>
      </c>
      <c r="K830" t="str">
        <f>TEXT(Table1[[#This Row],[Order Date]], "MMM")</f>
        <v>Oct</v>
      </c>
    </row>
    <row r="831" spans="1:11">
      <c r="A831">
        <v>1371</v>
      </c>
      <c r="B831" s="4" t="s">
        <v>310</v>
      </c>
      <c r="C831" t="s">
        <v>29</v>
      </c>
      <c r="D831" t="s">
        <v>22</v>
      </c>
      <c r="E831" s="8">
        <v>1045</v>
      </c>
      <c r="F831" s="8">
        <v>318</v>
      </c>
      <c r="G831" t="s">
        <v>30</v>
      </c>
      <c r="H831" t="s">
        <v>15</v>
      </c>
      <c r="I831">
        <f>F831/E831</f>
        <v>0.3043062200956938</v>
      </c>
      <c r="J831">
        <f>YEAR(Table1[[#This Row],[Order Date]])</f>
        <v>2023</v>
      </c>
      <c r="K831" t="str">
        <f>TEXT(Table1[[#This Row],[Order Date]], "MMM")</f>
        <v>Oct</v>
      </c>
    </row>
    <row r="832" spans="1:11">
      <c r="A832">
        <v>1690</v>
      </c>
      <c r="B832" s="4" t="s">
        <v>310</v>
      </c>
      <c r="C832" t="s">
        <v>27</v>
      </c>
      <c r="D832" t="s">
        <v>13</v>
      </c>
      <c r="E832" s="8">
        <v>1261</v>
      </c>
      <c r="F832" s="8">
        <v>461</v>
      </c>
      <c r="G832" t="s">
        <v>23</v>
      </c>
      <c r="H832" t="s">
        <v>19</v>
      </c>
      <c r="I832">
        <f>F832/E832</f>
        <v>0.36558287073750989</v>
      </c>
      <c r="J832">
        <f>YEAR(Table1[[#This Row],[Order Date]])</f>
        <v>2023</v>
      </c>
      <c r="K832" t="str">
        <f>TEXT(Table1[[#This Row],[Order Date]], "MMM")</f>
        <v>Oct</v>
      </c>
    </row>
    <row r="833" spans="1:11">
      <c r="A833">
        <v>1771</v>
      </c>
      <c r="B833" s="4" t="s">
        <v>310</v>
      </c>
      <c r="C833" t="s">
        <v>12</v>
      </c>
      <c r="D833" t="s">
        <v>25</v>
      </c>
      <c r="E833" s="8">
        <v>2785</v>
      </c>
      <c r="F833" s="8">
        <v>474</v>
      </c>
      <c r="G833" t="s">
        <v>30</v>
      </c>
      <c r="H833" t="s">
        <v>19</v>
      </c>
      <c r="I833">
        <f>F833/E833</f>
        <v>0.17019748653500899</v>
      </c>
      <c r="J833">
        <f>YEAR(Table1[[#This Row],[Order Date]])</f>
        <v>2023</v>
      </c>
      <c r="K833" t="str">
        <f>TEXT(Table1[[#This Row],[Order Date]], "MMM")</f>
        <v>Oct</v>
      </c>
    </row>
    <row r="834" spans="1:11">
      <c r="A834">
        <v>1899</v>
      </c>
      <c r="B834" s="4" t="s">
        <v>310</v>
      </c>
      <c r="C834" t="s">
        <v>17</v>
      </c>
      <c r="D834" t="s">
        <v>22</v>
      </c>
      <c r="E834" s="8">
        <v>381</v>
      </c>
      <c r="F834" s="8">
        <v>369</v>
      </c>
      <c r="G834" t="s">
        <v>18</v>
      </c>
      <c r="H834" t="s">
        <v>19</v>
      </c>
      <c r="I834">
        <f>F834/E834</f>
        <v>0.96850393700787396</v>
      </c>
      <c r="J834">
        <f>YEAR(Table1[[#This Row],[Order Date]])</f>
        <v>2023</v>
      </c>
      <c r="K834" t="str">
        <f>TEXT(Table1[[#This Row],[Order Date]], "MMM")</f>
        <v>Oct</v>
      </c>
    </row>
    <row r="835" spans="1:11">
      <c r="A835">
        <v>1984</v>
      </c>
      <c r="B835" s="4" t="s">
        <v>310</v>
      </c>
      <c r="C835" t="s">
        <v>21</v>
      </c>
      <c r="D835" t="s">
        <v>22</v>
      </c>
      <c r="E835" s="8">
        <v>2750</v>
      </c>
      <c r="F835" s="8">
        <v>107</v>
      </c>
      <c r="G835" t="s">
        <v>14</v>
      </c>
      <c r="H835" t="s">
        <v>15</v>
      </c>
      <c r="I835">
        <f>F835/E835</f>
        <v>3.8909090909090907E-2</v>
      </c>
      <c r="J835">
        <f>YEAR(Table1[[#This Row],[Order Date]])</f>
        <v>2023</v>
      </c>
      <c r="K835" t="str">
        <f>TEXT(Table1[[#This Row],[Order Date]], "MMM")</f>
        <v>Oct</v>
      </c>
    </row>
    <row r="836" spans="1:11">
      <c r="A836">
        <v>1179</v>
      </c>
      <c r="B836" s="4" t="s">
        <v>311</v>
      </c>
      <c r="C836" t="s">
        <v>21</v>
      </c>
      <c r="D836" t="s">
        <v>25</v>
      </c>
      <c r="E836" s="8">
        <v>3299</v>
      </c>
      <c r="F836" s="8">
        <v>533</v>
      </c>
      <c r="G836" t="s">
        <v>14</v>
      </c>
      <c r="H836" t="s">
        <v>19</v>
      </c>
      <c r="I836">
        <f>F836/E836</f>
        <v>0.16156411033646559</v>
      </c>
      <c r="J836">
        <f>YEAR(Table1[[#This Row],[Order Date]])</f>
        <v>2023</v>
      </c>
      <c r="K836" t="str">
        <f>TEXT(Table1[[#This Row],[Order Date]], "MMM")</f>
        <v>Oct</v>
      </c>
    </row>
    <row r="837" spans="1:11">
      <c r="A837">
        <v>1718</v>
      </c>
      <c r="B837" s="4" t="s">
        <v>311</v>
      </c>
      <c r="C837" t="s">
        <v>29</v>
      </c>
      <c r="D837" t="s">
        <v>22</v>
      </c>
      <c r="E837" s="8">
        <v>1083</v>
      </c>
      <c r="F837" s="8">
        <v>882</v>
      </c>
      <c r="G837" t="s">
        <v>18</v>
      </c>
      <c r="H837" t="s">
        <v>19</v>
      </c>
      <c r="I837">
        <f>F837/E837</f>
        <v>0.81440443213296398</v>
      </c>
      <c r="J837">
        <f>YEAR(Table1[[#This Row],[Order Date]])</f>
        <v>2023</v>
      </c>
      <c r="K837" t="str">
        <f>TEXT(Table1[[#This Row],[Order Date]], "MMM")</f>
        <v>Oct</v>
      </c>
    </row>
    <row r="838" spans="1:11">
      <c r="A838">
        <v>1205</v>
      </c>
      <c r="B838" s="4" t="s">
        <v>312</v>
      </c>
      <c r="C838" t="s">
        <v>28</v>
      </c>
      <c r="D838" t="s">
        <v>22</v>
      </c>
      <c r="E838" s="8">
        <v>3371</v>
      </c>
      <c r="F838" s="8">
        <v>915</v>
      </c>
      <c r="G838" t="s">
        <v>30</v>
      </c>
      <c r="H838" t="s">
        <v>15</v>
      </c>
      <c r="I838">
        <f>F838/E838</f>
        <v>0.2714328092554138</v>
      </c>
      <c r="J838">
        <f>YEAR(Table1[[#This Row],[Order Date]])</f>
        <v>2023</v>
      </c>
      <c r="K838" t="str">
        <f>TEXT(Table1[[#This Row],[Order Date]], "MMM")</f>
        <v>Oct</v>
      </c>
    </row>
    <row r="839" spans="1:11">
      <c r="A839">
        <v>1455</v>
      </c>
      <c r="B839" s="4" t="s">
        <v>313</v>
      </c>
      <c r="C839" t="s">
        <v>24</v>
      </c>
      <c r="D839" t="s">
        <v>25</v>
      </c>
      <c r="E839" s="8">
        <v>2374</v>
      </c>
      <c r="F839" s="8">
        <v>156</v>
      </c>
      <c r="G839" t="s">
        <v>30</v>
      </c>
      <c r="H839" t="s">
        <v>19</v>
      </c>
      <c r="I839">
        <f>F839/E839</f>
        <v>6.571187868576242E-2</v>
      </c>
      <c r="J839">
        <f>YEAR(Table1[[#This Row],[Order Date]])</f>
        <v>2023</v>
      </c>
      <c r="K839" t="str">
        <f>TEXT(Table1[[#This Row],[Order Date]], "MMM")</f>
        <v>Oct</v>
      </c>
    </row>
    <row r="840" spans="1:11">
      <c r="A840">
        <v>1540</v>
      </c>
      <c r="B840" s="4" t="s">
        <v>313</v>
      </c>
      <c r="C840" t="s">
        <v>17</v>
      </c>
      <c r="D840" t="s">
        <v>22</v>
      </c>
      <c r="E840" s="8">
        <v>3121</v>
      </c>
      <c r="F840" s="8">
        <v>93</v>
      </c>
      <c r="G840" t="s">
        <v>18</v>
      </c>
      <c r="H840" t="s">
        <v>15</v>
      </c>
      <c r="I840">
        <f>F840/E840</f>
        <v>2.9798141621275233E-2</v>
      </c>
      <c r="J840">
        <f>YEAR(Table1[[#This Row],[Order Date]])</f>
        <v>2023</v>
      </c>
      <c r="K840" t="str">
        <f>TEXT(Table1[[#This Row],[Order Date]], "MMM")</f>
        <v>Oct</v>
      </c>
    </row>
    <row r="841" spans="1:11">
      <c r="A841">
        <v>1762</v>
      </c>
      <c r="B841" s="4" t="s">
        <v>313</v>
      </c>
      <c r="C841" t="s">
        <v>28</v>
      </c>
      <c r="D841" t="s">
        <v>13</v>
      </c>
      <c r="E841" s="8">
        <v>4503</v>
      </c>
      <c r="F841" s="8">
        <v>67</v>
      </c>
      <c r="G841" t="s">
        <v>23</v>
      </c>
      <c r="H841" t="s">
        <v>15</v>
      </c>
      <c r="I841">
        <f>F841/E841</f>
        <v>1.4878969575838331E-2</v>
      </c>
      <c r="J841">
        <f>YEAR(Table1[[#This Row],[Order Date]])</f>
        <v>2023</v>
      </c>
      <c r="K841" t="str">
        <f>TEXT(Table1[[#This Row],[Order Date]], "MMM")</f>
        <v>Oct</v>
      </c>
    </row>
    <row r="842" spans="1:11">
      <c r="A842">
        <v>1867</v>
      </c>
      <c r="B842" s="4" t="s">
        <v>313</v>
      </c>
      <c r="C842" t="s">
        <v>12</v>
      </c>
      <c r="D842" t="s">
        <v>13</v>
      </c>
      <c r="E842" s="8">
        <v>3817</v>
      </c>
      <c r="F842" s="8">
        <v>140</v>
      </c>
      <c r="G842" t="s">
        <v>14</v>
      </c>
      <c r="H842" t="s">
        <v>19</v>
      </c>
      <c r="I842">
        <f>F842/E842</f>
        <v>3.6678019386953108E-2</v>
      </c>
      <c r="J842">
        <f>YEAR(Table1[[#This Row],[Order Date]])</f>
        <v>2023</v>
      </c>
      <c r="K842" t="str">
        <f>TEXT(Table1[[#This Row],[Order Date]], "MMM")</f>
        <v>Oct</v>
      </c>
    </row>
    <row r="843" spans="1:11">
      <c r="A843">
        <v>1212</v>
      </c>
      <c r="B843" s="4" t="s">
        <v>314</v>
      </c>
      <c r="C843" t="s">
        <v>17</v>
      </c>
      <c r="D843" t="s">
        <v>25</v>
      </c>
      <c r="E843" s="8">
        <v>1792</v>
      </c>
      <c r="F843" s="8">
        <v>847</v>
      </c>
      <c r="G843" t="s">
        <v>18</v>
      </c>
      <c r="H843" t="s">
        <v>19</v>
      </c>
      <c r="I843">
        <f>F843/E843</f>
        <v>0.47265625</v>
      </c>
      <c r="J843">
        <f>YEAR(Table1[[#This Row],[Order Date]])</f>
        <v>2023</v>
      </c>
      <c r="K843" t="str">
        <f>TEXT(Table1[[#This Row],[Order Date]], "MMM")</f>
        <v>Oct</v>
      </c>
    </row>
    <row r="844" spans="1:11">
      <c r="A844">
        <v>1575</v>
      </c>
      <c r="B844" s="4" t="s">
        <v>314</v>
      </c>
      <c r="C844" t="s">
        <v>27</v>
      </c>
      <c r="D844" t="s">
        <v>25</v>
      </c>
      <c r="E844" s="8">
        <v>2295</v>
      </c>
      <c r="F844" s="8">
        <v>709</v>
      </c>
      <c r="G844" t="s">
        <v>14</v>
      </c>
      <c r="H844" t="s">
        <v>15</v>
      </c>
      <c r="I844">
        <f>F844/E844</f>
        <v>0.30893246187363832</v>
      </c>
      <c r="J844">
        <f>YEAR(Table1[[#This Row],[Order Date]])</f>
        <v>2023</v>
      </c>
      <c r="K844" t="str">
        <f>TEXT(Table1[[#This Row],[Order Date]], "MMM")</f>
        <v>Oct</v>
      </c>
    </row>
    <row r="845" spans="1:11">
      <c r="A845">
        <v>1862</v>
      </c>
      <c r="B845" s="4" t="s">
        <v>314</v>
      </c>
      <c r="C845" t="s">
        <v>21</v>
      </c>
      <c r="D845" t="s">
        <v>25</v>
      </c>
      <c r="E845" s="8">
        <v>3439</v>
      </c>
      <c r="F845" s="8">
        <v>181</v>
      </c>
      <c r="G845" t="s">
        <v>18</v>
      </c>
      <c r="H845" t="s">
        <v>15</v>
      </c>
      <c r="I845">
        <f>F845/E845</f>
        <v>5.2631578947368418E-2</v>
      </c>
      <c r="J845">
        <f>YEAR(Table1[[#This Row],[Order Date]])</f>
        <v>2023</v>
      </c>
      <c r="K845" t="str">
        <f>TEXT(Table1[[#This Row],[Order Date]], "MMM")</f>
        <v>Oct</v>
      </c>
    </row>
    <row r="846" spans="1:11">
      <c r="A846">
        <v>1329</v>
      </c>
      <c r="B846" s="4" t="s">
        <v>315</v>
      </c>
      <c r="C846" t="s">
        <v>28</v>
      </c>
      <c r="D846" t="s">
        <v>13</v>
      </c>
      <c r="E846" s="8">
        <v>1951</v>
      </c>
      <c r="F846" s="8">
        <v>596</v>
      </c>
      <c r="G846" t="s">
        <v>23</v>
      </c>
      <c r="H846" t="s">
        <v>19</v>
      </c>
      <c r="I846">
        <f>F846/E846</f>
        <v>0.3054843669912865</v>
      </c>
      <c r="J846">
        <f>YEAR(Table1[[#This Row],[Order Date]])</f>
        <v>2023</v>
      </c>
      <c r="K846" t="str">
        <f>TEXT(Table1[[#This Row],[Order Date]], "MMM")</f>
        <v>Nov</v>
      </c>
    </row>
    <row r="847" spans="1:11">
      <c r="A847">
        <v>1523</v>
      </c>
      <c r="B847" s="4" t="s">
        <v>315</v>
      </c>
      <c r="C847" t="s">
        <v>27</v>
      </c>
      <c r="D847" t="s">
        <v>25</v>
      </c>
      <c r="E847" s="8">
        <v>145</v>
      </c>
      <c r="F847" s="8">
        <v>120</v>
      </c>
      <c r="G847" t="s">
        <v>18</v>
      </c>
      <c r="H847" t="s">
        <v>15</v>
      </c>
      <c r="I847">
        <f>F847/E847</f>
        <v>0.82758620689655171</v>
      </c>
      <c r="J847">
        <f>YEAR(Table1[[#This Row],[Order Date]])</f>
        <v>2023</v>
      </c>
      <c r="K847" t="str">
        <f>TEXT(Table1[[#This Row],[Order Date]], "MMM")</f>
        <v>Nov</v>
      </c>
    </row>
    <row r="848" spans="1:11">
      <c r="A848">
        <v>1789</v>
      </c>
      <c r="B848" s="4" t="s">
        <v>316</v>
      </c>
      <c r="C848" t="s">
        <v>17</v>
      </c>
      <c r="D848" t="s">
        <v>22</v>
      </c>
      <c r="E848" s="8">
        <v>912</v>
      </c>
      <c r="F848" s="8">
        <v>641</v>
      </c>
      <c r="G848" t="s">
        <v>23</v>
      </c>
      <c r="H848" t="s">
        <v>15</v>
      </c>
      <c r="I848">
        <f>F848/E848</f>
        <v>0.70285087719298245</v>
      </c>
      <c r="J848">
        <f>YEAR(Table1[[#This Row],[Order Date]])</f>
        <v>2023</v>
      </c>
      <c r="K848" t="str">
        <f>TEXT(Table1[[#This Row],[Order Date]], "MMM")</f>
        <v>Nov</v>
      </c>
    </row>
    <row r="849" spans="1:11">
      <c r="A849">
        <v>1511</v>
      </c>
      <c r="B849" s="4" t="s">
        <v>317</v>
      </c>
      <c r="C849" t="s">
        <v>28</v>
      </c>
      <c r="D849" t="s">
        <v>22</v>
      </c>
      <c r="E849" s="8">
        <v>3328</v>
      </c>
      <c r="F849" s="8">
        <v>425</v>
      </c>
      <c r="G849" t="s">
        <v>18</v>
      </c>
      <c r="H849" t="s">
        <v>19</v>
      </c>
      <c r="I849">
        <f>F849/E849</f>
        <v>0.12770432692307693</v>
      </c>
      <c r="J849">
        <f>YEAR(Table1[[#This Row],[Order Date]])</f>
        <v>2023</v>
      </c>
      <c r="K849" t="str">
        <f>TEXT(Table1[[#This Row],[Order Date]], "MMM")</f>
        <v>Nov</v>
      </c>
    </row>
    <row r="850" spans="1:11">
      <c r="A850">
        <v>1564</v>
      </c>
      <c r="B850" s="4" t="s">
        <v>317</v>
      </c>
      <c r="C850" t="s">
        <v>21</v>
      </c>
      <c r="D850" t="s">
        <v>13</v>
      </c>
      <c r="E850" s="8">
        <v>3378</v>
      </c>
      <c r="F850" s="8">
        <v>749</v>
      </c>
      <c r="G850" t="s">
        <v>18</v>
      </c>
      <c r="H850" t="s">
        <v>19</v>
      </c>
      <c r="I850">
        <f>F850/E850</f>
        <v>0.22172883362936649</v>
      </c>
      <c r="J850">
        <f>YEAR(Table1[[#This Row],[Order Date]])</f>
        <v>2023</v>
      </c>
      <c r="K850" t="str">
        <f>TEXT(Table1[[#This Row],[Order Date]], "MMM")</f>
        <v>Nov</v>
      </c>
    </row>
    <row r="851" spans="1:11">
      <c r="A851">
        <v>1948</v>
      </c>
      <c r="B851" s="4" t="s">
        <v>317</v>
      </c>
      <c r="C851" t="s">
        <v>29</v>
      </c>
      <c r="D851" t="s">
        <v>22</v>
      </c>
      <c r="E851" s="8">
        <v>1062</v>
      </c>
      <c r="F851" s="8">
        <v>62</v>
      </c>
      <c r="G851" t="s">
        <v>14</v>
      </c>
      <c r="H851" t="s">
        <v>15</v>
      </c>
      <c r="I851">
        <f>F851/E851</f>
        <v>5.8380414312617701E-2</v>
      </c>
      <c r="J851">
        <f>YEAR(Table1[[#This Row],[Order Date]])</f>
        <v>2023</v>
      </c>
      <c r="K851" t="str">
        <f>TEXT(Table1[[#This Row],[Order Date]], "MMM")</f>
        <v>Nov</v>
      </c>
    </row>
    <row r="852" spans="1:11">
      <c r="A852">
        <v>1040</v>
      </c>
      <c r="B852" s="4" t="s">
        <v>318</v>
      </c>
      <c r="C852" t="s">
        <v>21</v>
      </c>
      <c r="D852" t="s">
        <v>13</v>
      </c>
      <c r="E852" s="8">
        <v>3877</v>
      </c>
      <c r="F852" s="8">
        <v>821</v>
      </c>
      <c r="G852" t="s">
        <v>14</v>
      </c>
      <c r="H852" t="s">
        <v>19</v>
      </c>
      <c r="I852">
        <f>F852/E852</f>
        <v>0.21176167139540883</v>
      </c>
      <c r="J852">
        <f>YEAR(Table1[[#This Row],[Order Date]])</f>
        <v>2023</v>
      </c>
      <c r="K852" t="str">
        <f>TEXT(Table1[[#This Row],[Order Date]], "MMM")</f>
        <v>Nov</v>
      </c>
    </row>
    <row r="853" spans="1:11">
      <c r="A853">
        <v>1122</v>
      </c>
      <c r="B853" s="4" t="s">
        <v>318</v>
      </c>
      <c r="C853" t="s">
        <v>24</v>
      </c>
      <c r="D853" t="s">
        <v>13</v>
      </c>
      <c r="E853" s="8">
        <v>1934</v>
      </c>
      <c r="F853" s="8">
        <v>470</v>
      </c>
      <c r="G853" t="s">
        <v>18</v>
      </c>
      <c r="H853" t="s">
        <v>19</v>
      </c>
      <c r="I853">
        <f>F853/E853</f>
        <v>0.24301964839710444</v>
      </c>
      <c r="J853">
        <f>YEAR(Table1[[#This Row],[Order Date]])</f>
        <v>2023</v>
      </c>
      <c r="K853" t="str">
        <f>TEXT(Table1[[#This Row],[Order Date]], "MMM")</f>
        <v>Nov</v>
      </c>
    </row>
    <row r="854" spans="1:11">
      <c r="A854">
        <v>1127</v>
      </c>
      <c r="B854" s="4" t="s">
        <v>318</v>
      </c>
      <c r="C854" t="s">
        <v>28</v>
      </c>
      <c r="D854" t="s">
        <v>13</v>
      </c>
      <c r="E854" s="8">
        <v>4268</v>
      </c>
      <c r="F854" s="8">
        <v>990</v>
      </c>
      <c r="G854" t="s">
        <v>23</v>
      </c>
      <c r="H854" t="s">
        <v>15</v>
      </c>
      <c r="I854">
        <f>F854/E854</f>
        <v>0.23195876288659795</v>
      </c>
      <c r="J854">
        <f>YEAR(Table1[[#This Row],[Order Date]])</f>
        <v>2023</v>
      </c>
      <c r="K854" t="str">
        <f>TEXT(Table1[[#This Row],[Order Date]], "MMM")</f>
        <v>Nov</v>
      </c>
    </row>
    <row r="855" spans="1:11">
      <c r="A855">
        <v>1128</v>
      </c>
      <c r="B855" s="4" t="s">
        <v>318</v>
      </c>
      <c r="C855" t="s">
        <v>21</v>
      </c>
      <c r="D855" t="s">
        <v>25</v>
      </c>
      <c r="E855" s="8">
        <v>338</v>
      </c>
      <c r="F855" s="8">
        <v>263</v>
      </c>
      <c r="G855" t="s">
        <v>23</v>
      </c>
      <c r="H855" t="s">
        <v>15</v>
      </c>
      <c r="I855">
        <f>F855/E855</f>
        <v>0.77810650887573962</v>
      </c>
      <c r="J855">
        <f>YEAR(Table1[[#This Row],[Order Date]])</f>
        <v>2023</v>
      </c>
      <c r="K855" t="str">
        <f>TEXT(Table1[[#This Row],[Order Date]], "MMM")</f>
        <v>Nov</v>
      </c>
    </row>
    <row r="856" spans="1:11">
      <c r="A856">
        <v>1248</v>
      </c>
      <c r="B856" s="4" t="s">
        <v>318</v>
      </c>
      <c r="C856" t="s">
        <v>21</v>
      </c>
      <c r="D856" t="s">
        <v>25</v>
      </c>
      <c r="E856" s="8">
        <v>3659</v>
      </c>
      <c r="F856" s="8">
        <v>485</v>
      </c>
      <c r="G856" t="s">
        <v>18</v>
      </c>
      <c r="H856" t="s">
        <v>15</v>
      </c>
      <c r="I856">
        <f>F856/E856</f>
        <v>0.13254987701557802</v>
      </c>
      <c r="J856">
        <f>YEAR(Table1[[#This Row],[Order Date]])</f>
        <v>2023</v>
      </c>
      <c r="K856" t="str">
        <f>TEXT(Table1[[#This Row],[Order Date]], "MMM")</f>
        <v>Nov</v>
      </c>
    </row>
    <row r="857" spans="1:11">
      <c r="A857">
        <v>1749</v>
      </c>
      <c r="B857" s="4" t="s">
        <v>319</v>
      </c>
      <c r="C857" t="s">
        <v>17</v>
      </c>
      <c r="D857" t="s">
        <v>13</v>
      </c>
      <c r="E857" s="8">
        <v>3485</v>
      </c>
      <c r="F857" s="8">
        <v>649</v>
      </c>
      <c r="G857" t="s">
        <v>30</v>
      </c>
      <c r="H857" t="s">
        <v>15</v>
      </c>
      <c r="I857">
        <f>F857/E857</f>
        <v>0.18622668579626972</v>
      </c>
      <c r="J857">
        <f>YEAR(Table1[[#This Row],[Order Date]])</f>
        <v>2023</v>
      </c>
      <c r="K857" t="str">
        <f>TEXT(Table1[[#This Row],[Order Date]], "MMM")</f>
        <v>Nov</v>
      </c>
    </row>
    <row r="858" spans="1:11">
      <c r="A858">
        <v>1852</v>
      </c>
      <c r="B858" s="4" t="s">
        <v>319</v>
      </c>
      <c r="C858" t="s">
        <v>24</v>
      </c>
      <c r="D858" t="s">
        <v>22</v>
      </c>
      <c r="E858" s="8">
        <v>314</v>
      </c>
      <c r="F858" s="8">
        <v>757</v>
      </c>
      <c r="G858" t="s">
        <v>23</v>
      </c>
      <c r="H858" t="s">
        <v>15</v>
      </c>
      <c r="I858">
        <f>F858/E858</f>
        <v>2.410828025477707</v>
      </c>
      <c r="J858">
        <f>YEAR(Table1[[#This Row],[Order Date]])</f>
        <v>2023</v>
      </c>
      <c r="K858" t="str">
        <f>TEXT(Table1[[#This Row],[Order Date]], "MMM")</f>
        <v>Nov</v>
      </c>
    </row>
    <row r="859" spans="1:11">
      <c r="A859">
        <v>1007</v>
      </c>
      <c r="B859" s="4" t="s">
        <v>320</v>
      </c>
      <c r="C859" t="s">
        <v>12</v>
      </c>
      <c r="D859" t="s">
        <v>22</v>
      </c>
      <c r="E859" s="8">
        <v>2454</v>
      </c>
      <c r="F859" s="8">
        <v>385</v>
      </c>
      <c r="G859" t="s">
        <v>23</v>
      </c>
      <c r="H859" t="s">
        <v>15</v>
      </c>
      <c r="I859">
        <f>F859/E859</f>
        <v>0.15688671556642217</v>
      </c>
      <c r="J859">
        <f>YEAR(Table1[[#This Row],[Order Date]])</f>
        <v>2023</v>
      </c>
      <c r="K859" t="str">
        <f>TEXT(Table1[[#This Row],[Order Date]], "MMM")</f>
        <v>Nov</v>
      </c>
    </row>
    <row r="860" spans="1:11">
      <c r="A860">
        <v>1115</v>
      </c>
      <c r="B860" s="4" t="s">
        <v>320</v>
      </c>
      <c r="C860" t="s">
        <v>12</v>
      </c>
      <c r="D860" t="s">
        <v>22</v>
      </c>
      <c r="E860" s="8">
        <v>4291</v>
      </c>
      <c r="F860" s="8">
        <v>555</v>
      </c>
      <c r="G860" t="s">
        <v>14</v>
      </c>
      <c r="H860" t="s">
        <v>15</v>
      </c>
      <c r="I860">
        <f>F860/E860</f>
        <v>0.12934048007457469</v>
      </c>
      <c r="J860">
        <f>YEAR(Table1[[#This Row],[Order Date]])</f>
        <v>2023</v>
      </c>
      <c r="K860" t="str">
        <f>TEXT(Table1[[#This Row],[Order Date]], "MMM")</f>
        <v>Nov</v>
      </c>
    </row>
    <row r="861" spans="1:11">
      <c r="A861">
        <v>1168</v>
      </c>
      <c r="B861" s="4" t="s">
        <v>320</v>
      </c>
      <c r="C861" t="s">
        <v>12</v>
      </c>
      <c r="D861" t="s">
        <v>13</v>
      </c>
      <c r="E861" s="8">
        <v>2809</v>
      </c>
      <c r="F861" s="8">
        <v>653</v>
      </c>
      <c r="G861" t="s">
        <v>23</v>
      </c>
      <c r="H861" t="s">
        <v>19</v>
      </c>
      <c r="I861">
        <f>F861/E861</f>
        <v>0.23246707013171947</v>
      </c>
      <c r="J861">
        <f>YEAR(Table1[[#This Row],[Order Date]])</f>
        <v>2023</v>
      </c>
      <c r="K861" t="str">
        <f>TEXT(Table1[[#This Row],[Order Date]], "MMM")</f>
        <v>Nov</v>
      </c>
    </row>
    <row r="862" spans="1:11">
      <c r="A862">
        <v>1182</v>
      </c>
      <c r="B862" s="4" t="s">
        <v>320</v>
      </c>
      <c r="C862" t="s">
        <v>21</v>
      </c>
      <c r="D862" t="s">
        <v>13</v>
      </c>
      <c r="E862" s="8">
        <v>3356</v>
      </c>
      <c r="F862" s="8">
        <v>362</v>
      </c>
      <c r="G862" t="s">
        <v>23</v>
      </c>
      <c r="H862" t="s">
        <v>15</v>
      </c>
      <c r="I862">
        <f>F862/E862</f>
        <v>0.10786650774731824</v>
      </c>
      <c r="J862">
        <f>YEAR(Table1[[#This Row],[Order Date]])</f>
        <v>2023</v>
      </c>
      <c r="K862" t="str">
        <f>TEXT(Table1[[#This Row],[Order Date]], "MMM")</f>
        <v>Nov</v>
      </c>
    </row>
    <row r="863" spans="1:11">
      <c r="A863">
        <v>1192</v>
      </c>
      <c r="B863" s="4" t="s">
        <v>321</v>
      </c>
      <c r="C863" t="s">
        <v>21</v>
      </c>
      <c r="D863" t="s">
        <v>13</v>
      </c>
      <c r="E863" s="8">
        <v>2135</v>
      </c>
      <c r="F863" s="8">
        <v>489</v>
      </c>
      <c r="G863" t="s">
        <v>30</v>
      </c>
      <c r="H863" t="s">
        <v>19</v>
      </c>
      <c r="I863">
        <f>F863/E863</f>
        <v>0.22903981264637002</v>
      </c>
      <c r="J863">
        <f>YEAR(Table1[[#This Row],[Order Date]])</f>
        <v>2023</v>
      </c>
      <c r="K863" t="str">
        <f>TEXT(Table1[[#This Row],[Order Date]], "MMM")</f>
        <v>Nov</v>
      </c>
    </row>
    <row r="864" spans="1:11">
      <c r="A864">
        <v>1053</v>
      </c>
      <c r="B864" s="4" t="s">
        <v>322</v>
      </c>
      <c r="C864" t="s">
        <v>17</v>
      </c>
      <c r="D864" t="s">
        <v>22</v>
      </c>
      <c r="E864" s="8">
        <v>4702</v>
      </c>
      <c r="F864" s="8">
        <v>264</v>
      </c>
      <c r="G864" t="s">
        <v>18</v>
      </c>
      <c r="H864" t="s">
        <v>19</v>
      </c>
      <c r="I864">
        <f>F864/E864</f>
        <v>5.6146320714589533E-2</v>
      </c>
      <c r="J864">
        <f>YEAR(Table1[[#This Row],[Order Date]])</f>
        <v>2023</v>
      </c>
      <c r="K864" t="str">
        <f>TEXT(Table1[[#This Row],[Order Date]], "MMM")</f>
        <v>Nov</v>
      </c>
    </row>
    <row r="865" spans="1:11">
      <c r="A865">
        <v>1108</v>
      </c>
      <c r="B865" s="4" t="s">
        <v>322</v>
      </c>
      <c r="C865" t="s">
        <v>17</v>
      </c>
      <c r="D865" t="s">
        <v>25</v>
      </c>
      <c r="E865" s="8">
        <v>2058</v>
      </c>
      <c r="F865" s="8">
        <v>343</v>
      </c>
      <c r="G865" t="s">
        <v>18</v>
      </c>
      <c r="H865" t="s">
        <v>15</v>
      </c>
      <c r="I865">
        <f>F865/E865</f>
        <v>0.16666666666666666</v>
      </c>
      <c r="J865">
        <f>YEAR(Table1[[#This Row],[Order Date]])</f>
        <v>2023</v>
      </c>
      <c r="K865" t="str">
        <f>TEXT(Table1[[#This Row],[Order Date]], "MMM")</f>
        <v>Nov</v>
      </c>
    </row>
    <row r="866" spans="1:11">
      <c r="A866">
        <v>1117</v>
      </c>
      <c r="B866" s="4" t="s">
        <v>322</v>
      </c>
      <c r="C866" t="s">
        <v>12</v>
      </c>
      <c r="D866" t="s">
        <v>25</v>
      </c>
      <c r="E866" s="8">
        <v>288</v>
      </c>
      <c r="F866" s="8">
        <v>556</v>
      </c>
      <c r="G866" t="s">
        <v>14</v>
      </c>
      <c r="H866" t="s">
        <v>19</v>
      </c>
      <c r="I866">
        <f>F866/E866</f>
        <v>1.9305555555555556</v>
      </c>
      <c r="J866">
        <f>YEAR(Table1[[#This Row],[Order Date]])</f>
        <v>2023</v>
      </c>
      <c r="K866" t="str">
        <f>TEXT(Table1[[#This Row],[Order Date]], "MMM")</f>
        <v>Nov</v>
      </c>
    </row>
    <row r="867" spans="1:11">
      <c r="A867">
        <v>1123</v>
      </c>
      <c r="B867" s="4" t="s">
        <v>322</v>
      </c>
      <c r="C867" t="s">
        <v>24</v>
      </c>
      <c r="D867" t="s">
        <v>13</v>
      </c>
      <c r="E867" s="8">
        <v>2473</v>
      </c>
      <c r="F867" s="8">
        <v>775</v>
      </c>
      <c r="G867" t="s">
        <v>23</v>
      </c>
      <c r="H867" t="s">
        <v>19</v>
      </c>
      <c r="I867">
        <f>F867/E867</f>
        <v>0.31338455317428227</v>
      </c>
      <c r="J867">
        <f>YEAR(Table1[[#This Row],[Order Date]])</f>
        <v>2023</v>
      </c>
      <c r="K867" t="str">
        <f>TEXT(Table1[[#This Row],[Order Date]], "MMM")</f>
        <v>Nov</v>
      </c>
    </row>
    <row r="868" spans="1:11">
      <c r="A868">
        <v>1654</v>
      </c>
      <c r="B868" s="4" t="s">
        <v>322</v>
      </c>
      <c r="C868" t="s">
        <v>29</v>
      </c>
      <c r="D868" t="s">
        <v>22</v>
      </c>
      <c r="E868" s="8">
        <v>1828</v>
      </c>
      <c r="F868" s="8">
        <v>459</v>
      </c>
      <c r="G868" t="s">
        <v>23</v>
      </c>
      <c r="H868" t="s">
        <v>19</v>
      </c>
      <c r="I868">
        <f>F868/E868</f>
        <v>0.2510940919037199</v>
      </c>
      <c r="J868">
        <f>YEAR(Table1[[#This Row],[Order Date]])</f>
        <v>2023</v>
      </c>
      <c r="K868" t="str">
        <f>TEXT(Table1[[#This Row],[Order Date]], "MMM")</f>
        <v>Nov</v>
      </c>
    </row>
    <row r="869" spans="1:11">
      <c r="A869">
        <v>1374</v>
      </c>
      <c r="B869" s="4" t="s">
        <v>323</v>
      </c>
      <c r="C869" t="s">
        <v>24</v>
      </c>
      <c r="D869" t="s">
        <v>13</v>
      </c>
      <c r="E869" s="8">
        <v>3639</v>
      </c>
      <c r="F869" s="8">
        <v>185</v>
      </c>
      <c r="G869" t="s">
        <v>18</v>
      </c>
      <c r="H869" t="s">
        <v>15</v>
      </c>
      <c r="I869">
        <f>F869/E869</f>
        <v>5.0838142346798572E-2</v>
      </c>
      <c r="J869">
        <f>YEAR(Table1[[#This Row],[Order Date]])</f>
        <v>2023</v>
      </c>
      <c r="K869" t="str">
        <f>TEXT(Table1[[#This Row],[Order Date]], "MMM")</f>
        <v>Nov</v>
      </c>
    </row>
    <row r="870" spans="1:11">
      <c r="A870">
        <v>1619</v>
      </c>
      <c r="B870" s="4" t="s">
        <v>323</v>
      </c>
      <c r="C870" t="s">
        <v>21</v>
      </c>
      <c r="D870" t="s">
        <v>13</v>
      </c>
      <c r="E870" s="8">
        <v>802</v>
      </c>
      <c r="F870" s="8">
        <v>261</v>
      </c>
      <c r="G870" t="s">
        <v>18</v>
      </c>
      <c r="H870" t="s">
        <v>19</v>
      </c>
      <c r="I870">
        <f>F870/E870</f>
        <v>0.3254364089775561</v>
      </c>
      <c r="J870">
        <f>YEAR(Table1[[#This Row],[Order Date]])</f>
        <v>2023</v>
      </c>
      <c r="K870" t="str">
        <f>TEXT(Table1[[#This Row],[Order Date]], "MMM")</f>
        <v>Nov</v>
      </c>
    </row>
    <row r="871" spans="1:11">
      <c r="A871">
        <v>1143</v>
      </c>
      <c r="B871" s="4" t="s">
        <v>324</v>
      </c>
      <c r="C871" t="s">
        <v>21</v>
      </c>
      <c r="D871" t="s">
        <v>22</v>
      </c>
      <c r="E871" s="8">
        <v>850</v>
      </c>
      <c r="F871" s="8">
        <v>868</v>
      </c>
      <c r="G871" t="s">
        <v>14</v>
      </c>
      <c r="H871" t="s">
        <v>19</v>
      </c>
      <c r="I871">
        <f>F871/E871</f>
        <v>1.0211764705882354</v>
      </c>
      <c r="J871">
        <f>YEAR(Table1[[#This Row],[Order Date]])</f>
        <v>2023</v>
      </c>
      <c r="K871" t="str">
        <f>TEXT(Table1[[#This Row],[Order Date]], "MMM")</f>
        <v>Nov</v>
      </c>
    </row>
    <row r="872" spans="1:11">
      <c r="A872">
        <v>1360</v>
      </c>
      <c r="B872" s="4" t="s">
        <v>324</v>
      </c>
      <c r="C872" t="s">
        <v>17</v>
      </c>
      <c r="D872" t="s">
        <v>22</v>
      </c>
      <c r="E872" s="8">
        <v>3409</v>
      </c>
      <c r="F872" s="8">
        <v>608</v>
      </c>
      <c r="G872" t="s">
        <v>30</v>
      </c>
      <c r="H872" t="s">
        <v>15</v>
      </c>
      <c r="I872">
        <f>F872/E872</f>
        <v>0.17835142270460547</v>
      </c>
      <c r="J872">
        <f>YEAR(Table1[[#This Row],[Order Date]])</f>
        <v>2023</v>
      </c>
      <c r="K872" t="str">
        <f>TEXT(Table1[[#This Row],[Order Date]], "MMM")</f>
        <v>Nov</v>
      </c>
    </row>
    <row r="873" spans="1:11">
      <c r="A873">
        <v>1697</v>
      </c>
      <c r="B873" s="4" t="s">
        <v>324</v>
      </c>
      <c r="C873" t="s">
        <v>28</v>
      </c>
      <c r="D873" t="s">
        <v>25</v>
      </c>
      <c r="E873" s="8">
        <v>2509</v>
      </c>
      <c r="F873" s="8">
        <v>626</v>
      </c>
      <c r="G873" t="s">
        <v>23</v>
      </c>
      <c r="H873" t="s">
        <v>19</v>
      </c>
      <c r="I873">
        <f>F873/E873</f>
        <v>0.24950179354324431</v>
      </c>
      <c r="J873">
        <f>YEAR(Table1[[#This Row],[Order Date]])</f>
        <v>2023</v>
      </c>
      <c r="K873" t="str">
        <f>TEXT(Table1[[#This Row],[Order Date]], "MMM")</f>
        <v>Nov</v>
      </c>
    </row>
    <row r="874" spans="1:11">
      <c r="A874">
        <v>1375</v>
      </c>
      <c r="B874" s="4" t="s">
        <v>325</v>
      </c>
      <c r="C874" t="s">
        <v>21</v>
      </c>
      <c r="D874" t="s">
        <v>13</v>
      </c>
      <c r="E874" s="8">
        <v>2902</v>
      </c>
      <c r="F874" s="8">
        <v>514</v>
      </c>
      <c r="G874" t="s">
        <v>23</v>
      </c>
      <c r="H874" t="s">
        <v>19</v>
      </c>
      <c r="I874">
        <f>F874/E874</f>
        <v>0.17711922811853895</v>
      </c>
      <c r="J874">
        <f>YEAR(Table1[[#This Row],[Order Date]])</f>
        <v>2023</v>
      </c>
      <c r="K874" t="str">
        <f>TEXT(Table1[[#This Row],[Order Date]], "MMM")</f>
        <v>Nov</v>
      </c>
    </row>
    <row r="875" spans="1:11">
      <c r="A875">
        <v>1472</v>
      </c>
      <c r="B875" s="4" t="s">
        <v>325</v>
      </c>
      <c r="C875" t="s">
        <v>21</v>
      </c>
      <c r="D875" t="s">
        <v>25</v>
      </c>
      <c r="E875" s="8">
        <v>652</v>
      </c>
      <c r="F875" s="8">
        <v>431</v>
      </c>
      <c r="G875" t="s">
        <v>18</v>
      </c>
      <c r="H875" t="s">
        <v>19</v>
      </c>
      <c r="I875">
        <f>F875/E875</f>
        <v>0.66104294478527603</v>
      </c>
      <c r="J875">
        <f>YEAR(Table1[[#This Row],[Order Date]])</f>
        <v>2023</v>
      </c>
      <c r="K875" t="str">
        <f>TEXT(Table1[[#This Row],[Order Date]], "MMM")</f>
        <v>Nov</v>
      </c>
    </row>
    <row r="876" spans="1:11">
      <c r="A876">
        <v>1941</v>
      </c>
      <c r="B876" s="4" t="s">
        <v>325</v>
      </c>
      <c r="C876" t="s">
        <v>21</v>
      </c>
      <c r="D876" t="s">
        <v>13</v>
      </c>
      <c r="E876" s="8">
        <v>4474</v>
      </c>
      <c r="F876" s="8">
        <v>897</v>
      </c>
      <c r="G876" t="s">
        <v>23</v>
      </c>
      <c r="H876" t="s">
        <v>19</v>
      </c>
      <c r="I876">
        <f>F876/E876</f>
        <v>0.20049172999552972</v>
      </c>
      <c r="J876">
        <f>YEAR(Table1[[#This Row],[Order Date]])</f>
        <v>2023</v>
      </c>
      <c r="K876" t="str">
        <f>TEXT(Table1[[#This Row],[Order Date]], "MMM")</f>
        <v>Nov</v>
      </c>
    </row>
    <row r="877" spans="1:11">
      <c r="A877">
        <v>1080</v>
      </c>
      <c r="B877" s="4" t="s">
        <v>326</v>
      </c>
      <c r="C877" t="s">
        <v>17</v>
      </c>
      <c r="D877" t="s">
        <v>13</v>
      </c>
      <c r="E877" s="8">
        <v>1654</v>
      </c>
      <c r="F877" s="8">
        <v>439</v>
      </c>
      <c r="G877" t="s">
        <v>14</v>
      </c>
      <c r="H877" t="s">
        <v>19</v>
      </c>
      <c r="I877">
        <f>F877/E877</f>
        <v>0.26541717049576785</v>
      </c>
      <c r="J877">
        <f>YEAR(Table1[[#This Row],[Order Date]])</f>
        <v>2023</v>
      </c>
      <c r="K877" t="str">
        <f>TEXT(Table1[[#This Row],[Order Date]], "MMM")</f>
        <v>Nov</v>
      </c>
    </row>
    <row r="878" spans="1:11">
      <c r="A878">
        <v>1247</v>
      </c>
      <c r="B878" s="4" t="s">
        <v>326</v>
      </c>
      <c r="C878" t="s">
        <v>28</v>
      </c>
      <c r="D878" t="s">
        <v>25</v>
      </c>
      <c r="E878" s="8">
        <v>4606</v>
      </c>
      <c r="F878" s="8">
        <v>112</v>
      </c>
      <c r="G878" t="s">
        <v>30</v>
      </c>
      <c r="H878" t="s">
        <v>19</v>
      </c>
      <c r="I878">
        <f>F878/E878</f>
        <v>2.4316109422492401E-2</v>
      </c>
      <c r="J878">
        <f>YEAR(Table1[[#This Row],[Order Date]])</f>
        <v>2023</v>
      </c>
      <c r="K878" t="str">
        <f>TEXT(Table1[[#This Row],[Order Date]], "MMM")</f>
        <v>Nov</v>
      </c>
    </row>
    <row r="879" spans="1:11">
      <c r="A879">
        <v>1505</v>
      </c>
      <c r="B879" s="4" t="s">
        <v>326</v>
      </c>
      <c r="C879" t="s">
        <v>21</v>
      </c>
      <c r="D879" t="s">
        <v>13</v>
      </c>
      <c r="E879" s="8">
        <v>3713</v>
      </c>
      <c r="F879" s="8">
        <v>414</v>
      </c>
      <c r="G879" t="s">
        <v>23</v>
      </c>
      <c r="H879" t="s">
        <v>19</v>
      </c>
      <c r="I879">
        <f>F879/E879</f>
        <v>0.11150013466199839</v>
      </c>
      <c r="J879">
        <f>YEAR(Table1[[#This Row],[Order Date]])</f>
        <v>2023</v>
      </c>
      <c r="K879" t="str">
        <f>TEXT(Table1[[#This Row],[Order Date]], "MMM")</f>
        <v>Nov</v>
      </c>
    </row>
    <row r="880" spans="1:11">
      <c r="A880">
        <v>1708</v>
      </c>
      <c r="B880" s="4" t="s">
        <v>326</v>
      </c>
      <c r="C880" t="s">
        <v>12</v>
      </c>
      <c r="D880" t="s">
        <v>22</v>
      </c>
      <c r="E880" s="8">
        <v>3217</v>
      </c>
      <c r="F880" s="8">
        <v>589</v>
      </c>
      <c r="G880" t="s">
        <v>18</v>
      </c>
      <c r="H880" t="s">
        <v>15</v>
      </c>
      <c r="I880">
        <f>F880/E880</f>
        <v>0.18308983525023315</v>
      </c>
      <c r="J880">
        <f>YEAR(Table1[[#This Row],[Order Date]])</f>
        <v>2023</v>
      </c>
      <c r="K880" t="str">
        <f>TEXT(Table1[[#This Row],[Order Date]], "MMM")</f>
        <v>Nov</v>
      </c>
    </row>
    <row r="881" spans="1:11">
      <c r="A881">
        <v>1837</v>
      </c>
      <c r="B881" s="4" t="s">
        <v>326</v>
      </c>
      <c r="C881" t="s">
        <v>17</v>
      </c>
      <c r="D881" t="s">
        <v>13</v>
      </c>
      <c r="E881" s="8">
        <v>373</v>
      </c>
      <c r="F881" s="8">
        <v>817</v>
      </c>
      <c r="G881" t="s">
        <v>23</v>
      </c>
      <c r="H881" t="s">
        <v>15</v>
      </c>
      <c r="I881">
        <f>F881/E881</f>
        <v>2.1903485254691688</v>
      </c>
      <c r="J881">
        <f>YEAR(Table1[[#This Row],[Order Date]])</f>
        <v>2023</v>
      </c>
      <c r="K881" t="str">
        <f>TEXT(Table1[[#This Row],[Order Date]], "MMM")</f>
        <v>Nov</v>
      </c>
    </row>
    <row r="882" spans="1:11">
      <c r="A882">
        <v>1159</v>
      </c>
      <c r="B882" s="4" t="s">
        <v>327</v>
      </c>
      <c r="C882" t="s">
        <v>21</v>
      </c>
      <c r="D882" t="s">
        <v>13</v>
      </c>
      <c r="E882" s="8">
        <v>2122</v>
      </c>
      <c r="F882" s="8">
        <v>55</v>
      </c>
      <c r="G882" t="s">
        <v>14</v>
      </c>
      <c r="H882" t="s">
        <v>15</v>
      </c>
      <c r="I882">
        <f>F882/E882</f>
        <v>2.5918944392082942E-2</v>
      </c>
      <c r="J882">
        <f>YEAR(Table1[[#This Row],[Order Date]])</f>
        <v>2023</v>
      </c>
      <c r="K882" t="str">
        <f>TEXT(Table1[[#This Row],[Order Date]], "MMM")</f>
        <v>Nov</v>
      </c>
    </row>
    <row r="883" spans="1:11">
      <c r="A883">
        <v>1826</v>
      </c>
      <c r="B883" s="4" t="s">
        <v>327</v>
      </c>
      <c r="C883" t="s">
        <v>27</v>
      </c>
      <c r="D883" t="s">
        <v>22</v>
      </c>
      <c r="E883" s="8">
        <v>2629</v>
      </c>
      <c r="F883" s="8">
        <v>586</v>
      </c>
      <c r="G883" t="s">
        <v>18</v>
      </c>
      <c r="H883" t="s">
        <v>19</v>
      </c>
      <c r="I883">
        <f>F883/E883</f>
        <v>0.22289844047166224</v>
      </c>
      <c r="J883">
        <f>YEAR(Table1[[#This Row],[Order Date]])</f>
        <v>2023</v>
      </c>
      <c r="K883" t="str">
        <f>TEXT(Table1[[#This Row],[Order Date]], "MMM")</f>
        <v>Nov</v>
      </c>
    </row>
    <row r="884" spans="1:11">
      <c r="A884">
        <v>1034</v>
      </c>
      <c r="B884" s="4" t="s">
        <v>328</v>
      </c>
      <c r="C884" t="s">
        <v>21</v>
      </c>
      <c r="D884" t="s">
        <v>13</v>
      </c>
      <c r="E884" s="8">
        <v>4192</v>
      </c>
      <c r="F884" s="8">
        <v>255</v>
      </c>
      <c r="G884" t="s">
        <v>23</v>
      </c>
      <c r="H884" t="s">
        <v>19</v>
      </c>
      <c r="I884">
        <f>F884/E884</f>
        <v>6.0830152671755726E-2</v>
      </c>
      <c r="J884">
        <f>YEAR(Table1[[#This Row],[Order Date]])</f>
        <v>2023</v>
      </c>
      <c r="K884" t="str">
        <f>TEXT(Table1[[#This Row],[Order Date]], "MMM")</f>
        <v>Nov</v>
      </c>
    </row>
    <row r="885" spans="1:11">
      <c r="A885">
        <v>1639</v>
      </c>
      <c r="B885" s="4" t="s">
        <v>328</v>
      </c>
      <c r="C885" t="s">
        <v>17</v>
      </c>
      <c r="D885" t="s">
        <v>25</v>
      </c>
      <c r="E885" s="8">
        <v>4534</v>
      </c>
      <c r="F885" s="8">
        <v>317</v>
      </c>
      <c r="G885" t="s">
        <v>18</v>
      </c>
      <c r="H885" t="s">
        <v>19</v>
      </c>
      <c r="I885">
        <f>F885/E885</f>
        <v>6.9916188795765333E-2</v>
      </c>
      <c r="J885">
        <f>YEAR(Table1[[#This Row],[Order Date]])</f>
        <v>2023</v>
      </c>
      <c r="K885" t="str">
        <f>TEXT(Table1[[#This Row],[Order Date]], "MMM")</f>
        <v>Nov</v>
      </c>
    </row>
    <row r="886" spans="1:11">
      <c r="A886">
        <v>1651</v>
      </c>
      <c r="B886" s="4" t="s">
        <v>328</v>
      </c>
      <c r="C886" t="s">
        <v>29</v>
      </c>
      <c r="D886" t="s">
        <v>13</v>
      </c>
      <c r="E886" s="8">
        <v>2468</v>
      </c>
      <c r="F886" s="8">
        <v>204</v>
      </c>
      <c r="G886" t="s">
        <v>30</v>
      </c>
      <c r="H886" t="s">
        <v>19</v>
      </c>
      <c r="I886">
        <f>F886/E886</f>
        <v>8.2658022690437608E-2</v>
      </c>
      <c r="J886">
        <f>YEAR(Table1[[#This Row],[Order Date]])</f>
        <v>2023</v>
      </c>
      <c r="K886" t="str">
        <f>TEXT(Table1[[#This Row],[Order Date]], "MMM")</f>
        <v>Nov</v>
      </c>
    </row>
    <row r="887" spans="1:11">
      <c r="A887">
        <v>1680</v>
      </c>
      <c r="B887" s="4" t="s">
        <v>328</v>
      </c>
      <c r="C887" t="s">
        <v>28</v>
      </c>
      <c r="D887" t="s">
        <v>13</v>
      </c>
      <c r="E887" s="8">
        <v>288</v>
      </c>
      <c r="F887" s="8">
        <v>902</v>
      </c>
      <c r="G887" t="s">
        <v>14</v>
      </c>
      <c r="H887" t="s">
        <v>15</v>
      </c>
      <c r="I887">
        <f>F887/E887</f>
        <v>3.1319444444444446</v>
      </c>
      <c r="J887">
        <f>YEAR(Table1[[#This Row],[Order Date]])</f>
        <v>2023</v>
      </c>
      <c r="K887" t="str">
        <f>TEXT(Table1[[#This Row],[Order Date]], "MMM")</f>
        <v>Nov</v>
      </c>
    </row>
    <row r="888" spans="1:11">
      <c r="A888">
        <v>1130</v>
      </c>
      <c r="B888" s="4" t="s">
        <v>329</v>
      </c>
      <c r="C888" t="s">
        <v>17</v>
      </c>
      <c r="D888" t="s">
        <v>22</v>
      </c>
      <c r="E888" s="8">
        <v>4859</v>
      </c>
      <c r="F888" s="8">
        <v>259</v>
      </c>
      <c r="G888" t="s">
        <v>23</v>
      </c>
      <c r="H888" t="s">
        <v>15</v>
      </c>
      <c r="I888">
        <f>F888/E888</f>
        <v>5.3303148796048569E-2</v>
      </c>
      <c r="J888">
        <f>YEAR(Table1[[#This Row],[Order Date]])</f>
        <v>2023</v>
      </c>
      <c r="K888" t="str">
        <f>TEXT(Table1[[#This Row],[Order Date]], "MMM")</f>
        <v>Nov</v>
      </c>
    </row>
    <row r="889" spans="1:11">
      <c r="A889">
        <v>1135</v>
      </c>
      <c r="B889" s="4" t="s">
        <v>329</v>
      </c>
      <c r="C889" t="s">
        <v>17</v>
      </c>
      <c r="D889" t="s">
        <v>22</v>
      </c>
      <c r="E889" s="8">
        <v>3912</v>
      </c>
      <c r="F889" s="8">
        <v>875</v>
      </c>
      <c r="G889" t="s">
        <v>18</v>
      </c>
      <c r="H889" t="s">
        <v>15</v>
      </c>
      <c r="I889">
        <f>F889/E889</f>
        <v>0.22367075664621677</v>
      </c>
      <c r="J889">
        <f>YEAR(Table1[[#This Row],[Order Date]])</f>
        <v>2023</v>
      </c>
      <c r="K889" t="str">
        <f>TEXT(Table1[[#This Row],[Order Date]], "MMM")</f>
        <v>Nov</v>
      </c>
    </row>
    <row r="890" spans="1:11">
      <c r="A890">
        <v>1193</v>
      </c>
      <c r="B890" s="4" t="s">
        <v>329</v>
      </c>
      <c r="C890" t="s">
        <v>27</v>
      </c>
      <c r="D890" t="s">
        <v>22</v>
      </c>
      <c r="E890" s="8">
        <v>2799</v>
      </c>
      <c r="F890" s="8">
        <v>54</v>
      </c>
      <c r="G890" t="s">
        <v>23</v>
      </c>
      <c r="H890" t="s">
        <v>15</v>
      </c>
      <c r="I890">
        <f>F890/E890</f>
        <v>1.9292604501607719E-2</v>
      </c>
      <c r="J890">
        <f>YEAR(Table1[[#This Row],[Order Date]])</f>
        <v>2023</v>
      </c>
      <c r="K890" t="str">
        <f>TEXT(Table1[[#This Row],[Order Date]], "MMM")</f>
        <v>Nov</v>
      </c>
    </row>
    <row r="891" spans="1:11">
      <c r="A891">
        <v>1341</v>
      </c>
      <c r="B891" s="4" t="s">
        <v>329</v>
      </c>
      <c r="C891" t="s">
        <v>17</v>
      </c>
      <c r="D891" t="s">
        <v>22</v>
      </c>
      <c r="E891" s="8">
        <v>1982</v>
      </c>
      <c r="F891" s="8">
        <v>316</v>
      </c>
      <c r="G891" t="s">
        <v>18</v>
      </c>
      <c r="H891" t="s">
        <v>19</v>
      </c>
      <c r="I891">
        <f>F891/E891</f>
        <v>0.15943491422805248</v>
      </c>
      <c r="J891">
        <f>YEAR(Table1[[#This Row],[Order Date]])</f>
        <v>2023</v>
      </c>
      <c r="K891" t="str">
        <f>TEXT(Table1[[#This Row],[Order Date]], "MMM")</f>
        <v>Nov</v>
      </c>
    </row>
    <row r="892" spans="1:11">
      <c r="A892">
        <v>1396</v>
      </c>
      <c r="B892" s="4" t="s">
        <v>329</v>
      </c>
      <c r="C892" t="s">
        <v>27</v>
      </c>
      <c r="D892" t="s">
        <v>22</v>
      </c>
      <c r="E892" s="8">
        <v>4271</v>
      </c>
      <c r="F892" s="8">
        <v>623</v>
      </c>
      <c r="G892" t="s">
        <v>23</v>
      </c>
      <c r="H892" t="s">
        <v>15</v>
      </c>
      <c r="I892">
        <f>F892/E892</f>
        <v>0.14586747834230859</v>
      </c>
      <c r="J892">
        <f>YEAR(Table1[[#This Row],[Order Date]])</f>
        <v>2023</v>
      </c>
      <c r="K892" t="str">
        <f>TEXT(Table1[[#This Row],[Order Date]], "MMM")</f>
        <v>Nov</v>
      </c>
    </row>
    <row r="893" spans="1:11">
      <c r="A893">
        <v>1533</v>
      </c>
      <c r="B893" s="4" t="s">
        <v>330</v>
      </c>
      <c r="C893" t="s">
        <v>12</v>
      </c>
      <c r="D893" t="s">
        <v>22</v>
      </c>
      <c r="E893" s="8">
        <v>3139</v>
      </c>
      <c r="F893" s="8">
        <v>754</v>
      </c>
      <c r="G893" t="s">
        <v>18</v>
      </c>
      <c r="H893" t="s">
        <v>15</v>
      </c>
      <c r="I893">
        <f>F893/E893</f>
        <v>0.24020388658808539</v>
      </c>
      <c r="J893">
        <f>YEAR(Table1[[#This Row],[Order Date]])</f>
        <v>2023</v>
      </c>
      <c r="K893" t="str">
        <f>TEXT(Table1[[#This Row],[Order Date]], "MMM")</f>
        <v>Nov</v>
      </c>
    </row>
    <row r="894" spans="1:11">
      <c r="A894">
        <v>1930</v>
      </c>
      <c r="B894" s="4" t="s">
        <v>330</v>
      </c>
      <c r="C894" t="s">
        <v>27</v>
      </c>
      <c r="D894" t="s">
        <v>22</v>
      </c>
      <c r="E894" s="8">
        <v>3859</v>
      </c>
      <c r="F894" s="8">
        <v>561</v>
      </c>
      <c r="G894" t="s">
        <v>14</v>
      </c>
      <c r="H894" t="s">
        <v>19</v>
      </c>
      <c r="I894">
        <f>F894/E894</f>
        <v>0.14537444933920704</v>
      </c>
      <c r="J894">
        <f>YEAR(Table1[[#This Row],[Order Date]])</f>
        <v>2023</v>
      </c>
      <c r="K894" t="str">
        <f>TEXT(Table1[[#This Row],[Order Date]], "MMM")</f>
        <v>Nov</v>
      </c>
    </row>
    <row r="895" spans="1:11">
      <c r="A895">
        <v>1166</v>
      </c>
      <c r="B895" s="4" t="s">
        <v>331</v>
      </c>
      <c r="C895" t="s">
        <v>17</v>
      </c>
      <c r="D895" t="s">
        <v>22</v>
      </c>
      <c r="E895" s="8">
        <v>4706</v>
      </c>
      <c r="F895" s="8">
        <v>237</v>
      </c>
      <c r="G895" t="s">
        <v>18</v>
      </c>
      <c r="H895" t="s">
        <v>15</v>
      </c>
      <c r="I895">
        <f>F895/E895</f>
        <v>5.0361240968975776E-2</v>
      </c>
      <c r="J895">
        <f>YEAR(Table1[[#This Row],[Order Date]])</f>
        <v>2023</v>
      </c>
      <c r="K895" t="str">
        <f>TEXT(Table1[[#This Row],[Order Date]], "MMM")</f>
        <v>Nov</v>
      </c>
    </row>
    <row r="896" spans="1:11">
      <c r="A896">
        <v>1873</v>
      </c>
      <c r="B896" s="4" t="s">
        <v>331</v>
      </c>
      <c r="C896" t="s">
        <v>12</v>
      </c>
      <c r="D896" t="s">
        <v>25</v>
      </c>
      <c r="E896" s="8">
        <v>2935</v>
      </c>
      <c r="F896" s="8">
        <v>196</v>
      </c>
      <c r="G896" t="s">
        <v>14</v>
      </c>
      <c r="H896" t="s">
        <v>19</v>
      </c>
      <c r="I896">
        <f>F896/E896</f>
        <v>6.6780238500851782E-2</v>
      </c>
      <c r="J896">
        <f>YEAR(Table1[[#This Row],[Order Date]])</f>
        <v>2023</v>
      </c>
      <c r="K896" t="str">
        <f>TEXT(Table1[[#This Row],[Order Date]], "MMM")</f>
        <v>Nov</v>
      </c>
    </row>
    <row r="897" spans="1:11">
      <c r="A897">
        <v>1492</v>
      </c>
      <c r="B897" s="4" t="s">
        <v>332</v>
      </c>
      <c r="C897" t="s">
        <v>17</v>
      </c>
      <c r="D897" t="s">
        <v>25</v>
      </c>
      <c r="E897" s="8">
        <v>4504</v>
      </c>
      <c r="F897" s="8">
        <v>140</v>
      </c>
      <c r="G897" t="s">
        <v>18</v>
      </c>
      <c r="H897" t="s">
        <v>15</v>
      </c>
      <c r="I897">
        <f>F897/E897</f>
        <v>3.108348134991119E-2</v>
      </c>
      <c r="J897">
        <f>YEAR(Table1[[#This Row],[Order Date]])</f>
        <v>2023</v>
      </c>
      <c r="K897" t="str">
        <f>TEXT(Table1[[#This Row],[Order Date]], "MMM")</f>
        <v>Nov</v>
      </c>
    </row>
    <row r="898" spans="1:11">
      <c r="A898">
        <v>1525</v>
      </c>
      <c r="B898" s="4" t="s">
        <v>332</v>
      </c>
      <c r="C898" t="s">
        <v>17</v>
      </c>
      <c r="D898" t="s">
        <v>25</v>
      </c>
      <c r="E898" s="8">
        <v>3902</v>
      </c>
      <c r="F898" s="8">
        <v>243</v>
      </c>
      <c r="G898" t="s">
        <v>30</v>
      </c>
      <c r="H898" t="s">
        <v>19</v>
      </c>
      <c r="I898">
        <f>F898/E898</f>
        <v>6.2275756022552538E-2</v>
      </c>
      <c r="J898">
        <f>YEAR(Table1[[#This Row],[Order Date]])</f>
        <v>2023</v>
      </c>
      <c r="K898" t="str">
        <f>TEXT(Table1[[#This Row],[Order Date]], "MMM")</f>
        <v>Nov</v>
      </c>
    </row>
    <row r="899" spans="1:11">
      <c r="A899">
        <v>1310</v>
      </c>
      <c r="B899" s="4" t="s">
        <v>333</v>
      </c>
      <c r="C899" t="s">
        <v>17</v>
      </c>
      <c r="D899" t="s">
        <v>25</v>
      </c>
      <c r="E899" s="8">
        <v>3871</v>
      </c>
      <c r="F899" s="8">
        <v>152</v>
      </c>
      <c r="G899" t="s">
        <v>18</v>
      </c>
      <c r="H899" t="s">
        <v>15</v>
      </c>
      <c r="I899">
        <f>F899/E899</f>
        <v>3.9266339447171276E-2</v>
      </c>
      <c r="J899">
        <f>YEAR(Table1[[#This Row],[Order Date]])</f>
        <v>2023</v>
      </c>
      <c r="K899" t="str">
        <f>TEXT(Table1[[#This Row],[Order Date]], "MMM")</f>
        <v>Nov</v>
      </c>
    </row>
    <row r="900" spans="1:11">
      <c r="A900">
        <v>1196</v>
      </c>
      <c r="B900" s="4" t="s">
        <v>334</v>
      </c>
      <c r="C900" t="s">
        <v>12</v>
      </c>
      <c r="D900" t="s">
        <v>22</v>
      </c>
      <c r="E900" s="8">
        <v>4143</v>
      </c>
      <c r="F900" s="8">
        <v>867</v>
      </c>
      <c r="G900" t="s">
        <v>30</v>
      </c>
      <c r="H900" t="s">
        <v>15</v>
      </c>
      <c r="I900">
        <f>F900/E900</f>
        <v>0.20926864590876176</v>
      </c>
      <c r="J900">
        <f>YEAR(Table1[[#This Row],[Order Date]])</f>
        <v>2023</v>
      </c>
      <c r="K900" t="str">
        <f>TEXT(Table1[[#This Row],[Order Date]], "MMM")</f>
        <v>Nov</v>
      </c>
    </row>
    <row r="901" spans="1:11">
      <c r="A901">
        <v>1415</v>
      </c>
      <c r="B901" s="4" t="s">
        <v>334</v>
      </c>
      <c r="C901" t="s">
        <v>29</v>
      </c>
      <c r="D901" t="s">
        <v>25</v>
      </c>
      <c r="E901" s="8">
        <v>3376</v>
      </c>
      <c r="F901" s="8">
        <v>471</v>
      </c>
      <c r="G901" t="s">
        <v>30</v>
      </c>
      <c r="H901" t="s">
        <v>19</v>
      </c>
      <c r="I901">
        <f>F901/E901</f>
        <v>0.13951421800947866</v>
      </c>
      <c r="J901">
        <f>YEAR(Table1[[#This Row],[Order Date]])</f>
        <v>2023</v>
      </c>
      <c r="K901" t="str">
        <f>TEXT(Table1[[#This Row],[Order Date]], "MMM")</f>
        <v>Nov</v>
      </c>
    </row>
    <row r="902" spans="1:11">
      <c r="A902">
        <v>1641</v>
      </c>
      <c r="B902" s="4" t="s">
        <v>334</v>
      </c>
      <c r="C902" t="s">
        <v>12</v>
      </c>
      <c r="D902" t="s">
        <v>25</v>
      </c>
      <c r="E902" s="8">
        <v>1846</v>
      </c>
      <c r="F902" s="8">
        <v>932</v>
      </c>
      <c r="G902" t="s">
        <v>18</v>
      </c>
      <c r="H902" t="s">
        <v>19</v>
      </c>
      <c r="I902">
        <f>F902/E902</f>
        <v>0.50487540628385696</v>
      </c>
      <c r="J902">
        <f>YEAR(Table1[[#This Row],[Order Date]])</f>
        <v>2023</v>
      </c>
      <c r="K902" t="str">
        <f>TEXT(Table1[[#This Row],[Order Date]], "MMM")</f>
        <v>Nov</v>
      </c>
    </row>
    <row r="903" spans="1:11">
      <c r="A903">
        <v>1342</v>
      </c>
      <c r="B903" s="4" t="s">
        <v>335</v>
      </c>
      <c r="C903" t="s">
        <v>29</v>
      </c>
      <c r="D903" t="s">
        <v>22</v>
      </c>
      <c r="E903" s="8">
        <v>2682</v>
      </c>
      <c r="F903" s="8">
        <v>284</v>
      </c>
      <c r="G903" t="s">
        <v>14</v>
      </c>
      <c r="H903" t="s">
        <v>15</v>
      </c>
      <c r="I903">
        <f>F903/E903</f>
        <v>0.10589112602535421</v>
      </c>
      <c r="J903">
        <f>YEAR(Table1[[#This Row],[Order Date]])</f>
        <v>2023</v>
      </c>
      <c r="K903" t="str">
        <f>TEXT(Table1[[#This Row],[Order Date]], "MMM")</f>
        <v>Nov</v>
      </c>
    </row>
    <row r="904" spans="1:11">
      <c r="A904">
        <v>1350</v>
      </c>
      <c r="B904" s="4" t="s">
        <v>335</v>
      </c>
      <c r="C904" t="s">
        <v>27</v>
      </c>
      <c r="D904" t="s">
        <v>22</v>
      </c>
      <c r="E904" s="8">
        <v>4512</v>
      </c>
      <c r="F904" s="8">
        <v>972</v>
      </c>
      <c r="G904" t="s">
        <v>23</v>
      </c>
      <c r="H904" t="s">
        <v>15</v>
      </c>
      <c r="I904">
        <f>F904/E904</f>
        <v>0.21542553191489361</v>
      </c>
      <c r="J904">
        <f>YEAR(Table1[[#This Row],[Order Date]])</f>
        <v>2023</v>
      </c>
      <c r="K904" t="str">
        <f>TEXT(Table1[[#This Row],[Order Date]], "MMM")</f>
        <v>Nov</v>
      </c>
    </row>
    <row r="905" spans="1:11">
      <c r="A905">
        <v>1643</v>
      </c>
      <c r="B905" s="4" t="s">
        <v>335</v>
      </c>
      <c r="C905" t="s">
        <v>24</v>
      </c>
      <c r="D905" t="s">
        <v>25</v>
      </c>
      <c r="E905" s="8">
        <v>3002</v>
      </c>
      <c r="F905" s="8">
        <v>339</v>
      </c>
      <c r="G905" t="s">
        <v>14</v>
      </c>
      <c r="H905" t="s">
        <v>15</v>
      </c>
      <c r="I905">
        <f>F905/E905</f>
        <v>0.11292471685542971</v>
      </c>
      <c r="J905">
        <f>YEAR(Table1[[#This Row],[Order Date]])</f>
        <v>2023</v>
      </c>
      <c r="K905" t="str">
        <f>TEXT(Table1[[#This Row],[Order Date]], "MMM")</f>
        <v>Nov</v>
      </c>
    </row>
    <row r="906" spans="1:11">
      <c r="A906">
        <v>1074</v>
      </c>
      <c r="B906" s="4" t="s">
        <v>336</v>
      </c>
      <c r="C906" t="s">
        <v>24</v>
      </c>
      <c r="D906" t="s">
        <v>22</v>
      </c>
      <c r="E906" s="8">
        <v>398</v>
      </c>
      <c r="F906" s="8">
        <v>822</v>
      </c>
      <c r="G906" t="s">
        <v>18</v>
      </c>
      <c r="H906" t="s">
        <v>19</v>
      </c>
      <c r="I906">
        <f>F906/E906</f>
        <v>2.0653266331658293</v>
      </c>
      <c r="J906">
        <f>YEAR(Table1[[#This Row],[Order Date]])</f>
        <v>2023</v>
      </c>
      <c r="K906" t="str">
        <f>TEXT(Table1[[#This Row],[Order Date]], "MMM")</f>
        <v>Nov</v>
      </c>
    </row>
    <row r="907" spans="1:11">
      <c r="A907">
        <v>1251</v>
      </c>
      <c r="B907" s="4" t="s">
        <v>336</v>
      </c>
      <c r="C907" t="s">
        <v>12</v>
      </c>
      <c r="D907" t="s">
        <v>13</v>
      </c>
      <c r="E907" s="8">
        <v>1885</v>
      </c>
      <c r="F907" s="8">
        <v>355</v>
      </c>
      <c r="G907" t="s">
        <v>30</v>
      </c>
      <c r="H907" t="s">
        <v>19</v>
      </c>
      <c r="I907">
        <f>F907/E907</f>
        <v>0.1883289124668435</v>
      </c>
      <c r="J907">
        <f>YEAR(Table1[[#This Row],[Order Date]])</f>
        <v>2023</v>
      </c>
      <c r="K907" t="str">
        <f>TEXT(Table1[[#This Row],[Order Date]], "MMM")</f>
        <v>Nov</v>
      </c>
    </row>
    <row r="908" spans="1:11">
      <c r="A908">
        <v>1460</v>
      </c>
      <c r="B908" s="4" t="s">
        <v>336</v>
      </c>
      <c r="C908" t="s">
        <v>12</v>
      </c>
      <c r="D908" t="s">
        <v>22</v>
      </c>
      <c r="E908" s="8">
        <v>1560</v>
      </c>
      <c r="F908" s="8">
        <v>774</v>
      </c>
      <c r="G908" t="s">
        <v>18</v>
      </c>
      <c r="H908" t="s">
        <v>19</v>
      </c>
      <c r="I908">
        <f>F908/E908</f>
        <v>0.49615384615384617</v>
      </c>
      <c r="J908">
        <f>YEAR(Table1[[#This Row],[Order Date]])</f>
        <v>2023</v>
      </c>
      <c r="K908" t="str">
        <f>TEXT(Table1[[#This Row],[Order Date]], "MMM")</f>
        <v>Nov</v>
      </c>
    </row>
    <row r="909" spans="1:11">
      <c r="A909">
        <v>1037</v>
      </c>
      <c r="B909" s="4" t="s">
        <v>337</v>
      </c>
      <c r="C909" t="s">
        <v>17</v>
      </c>
      <c r="D909" t="s">
        <v>25</v>
      </c>
      <c r="E909" s="8">
        <v>1035</v>
      </c>
      <c r="F909" s="8">
        <v>598</v>
      </c>
      <c r="G909" t="s">
        <v>30</v>
      </c>
      <c r="H909" t="s">
        <v>15</v>
      </c>
      <c r="I909">
        <f>F909/E909</f>
        <v>0.57777777777777772</v>
      </c>
      <c r="J909">
        <f>YEAR(Table1[[#This Row],[Order Date]])</f>
        <v>2023</v>
      </c>
      <c r="K909" t="str">
        <f>TEXT(Table1[[#This Row],[Order Date]], "MMM")</f>
        <v>Nov</v>
      </c>
    </row>
    <row r="910" spans="1:11">
      <c r="A910">
        <v>1462</v>
      </c>
      <c r="B910" s="4" t="s">
        <v>337</v>
      </c>
      <c r="C910" t="s">
        <v>12</v>
      </c>
      <c r="D910" t="s">
        <v>25</v>
      </c>
      <c r="E910" s="8">
        <v>2172</v>
      </c>
      <c r="F910" s="8">
        <v>157</v>
      </c>
      <c r="G910" t="s">
        <v>14</v>
      </c>
      <c r="H910" t="s">
        <v>19</v>
      </c>
      <c r="I910">
        <f>F910/E910</f>
        <v>7.2283609576427252E-2</v>
      </c>
      <c r="J910">
        <f>YEAR(Table1[[#This Row],[Order Date]])</f>
        <v>2023</v>
      </c>
      <c r="K910" t="str">
        <f>TEXT(Table1[[#This Row],[Order Date]], "MMM")</f>
        <v>Nov</v>
      </c>
    </row>
    <row r="911" spans="1:11">
      <c r="A911">
        <v>1097</v>
      </c>
      <c r="B911" s="4" t="s">
        <v>338</v>
      </c>
      <c r="C911" t="s">
        <v>28</v>
      </c>
      <c r="D911" t="s">
        <v>13</v>
      </c>
      <c r="E911" s="8">
        <v>2261</v>
      </c>
      <c r="F911" s="8">
        <v>794</v>
      </c>
      <c r="G911" t="s">
        <v>30</v>
      </c>
      <c r="H911" t="s">
        <v>15</v>
      </c>
      <c r="I911">
        <f>F911/E911</f>
        <v>0.35117204776647504</v>
      </c>
      <c r="J911">
        <f>YEAR(Table1[[#This Row],[Order Date]])</f>
        <v>2023</v>
      </c>
      <c r="K911" t="str">
        <f>TEXT(Table1[[#This Row],[Order Date]], "MMM")</f>
        <v>Nov</v>
      </c>
    </row>
    <row r="912" spans="1:11">
      <c r="A912">
        <v>1315</v>
      </c>
      <c r="B912" s="4" t="s">
        <v>338</v>
      </c>
      <c r="C912" t="s">
        <v>29</v>
      </c>
      <c r="D912" t="s">
        <v>22</v>
      </c>
      <c r="E912" s="8">
        <v>398</v>
      </c>
      <c r="F912" s="8">
        <v>941</v>
      </c>
      <c r="G912" t="s">
        <v>30</v>
      </c>
      <c r="H912" t="s">
        <v>19</v>
      </c>
      <c r="I912">
        <f>F912/E912</f>
        <v>2.3643216080402012</v>
      </c>
      <c r="J912">
        <f>YEAR(Table1[[#This Row],[Order Date]])</f>
        <v>2023</v>
      </c>
      <c r="K912" t="str">
        <f>TEXT(Table1[[#This Row],[Order Date]], "MMM")</f>
        <v>Nov</v>
      </c>
    </row>
    <row r="913" spans="1:11">
      <c r="A913">
        <v>1364</v>
      </c>
      <c r="B913" s="4" t="s">
        <v>338</v>
      </c>
      <c r="C913" t="s">
        <v>21</v>
      </c>
      <c r="D913" t="s">
        <v>25</v>
      </c>
      <c r="E913" s="8">
        <v>1333</v>
      </c>
      <c r="F913" s="8">
        <v>766</v>
      </c>
      <c r="G913" t="s">
        <v>18</v>
      </c>
      <c r="H913" t="s">
        <v>19</v>
      </c>
      <c r="I913">
        <f>F913/E913</f>
        <v>0.57464366091522878</v>
      </c>
      <c r="J913">
        <f>YEAR(Table1[[#This Row],[Order Date]])</f>
        <v>2023</v>
      </c>
      <c r="K913" t="str">
        <f>TEXT(Table1[[#This Row],[Order Date]], "MMM")</f>
        <v>Nov</v>
      </c>
    </row>
    <row r="914" spans="1:11">
      <c r="A914">
        <v>1585</v>
      </c>
      <c r="B914" s="4" t="s">
        <v>338</v>
      </c>
      <c r="C914" t="s">
        <v>21</v>
      </c>
      <c r="D914" t="s">
        <v>13</v>
      </c>
      <c r="E914" s="8">
        <v>4047</v>
      </c>
      <c r="F914" s="8">
        <v>454</v>
      </c>
      <c r="G914" t="s">
        <v>18</v>
      </c>
      <c r="H914" t="s">
        <v>19</v>
      </c>
      <c r="I914">
        <f>F914/E914</f>
        <v>0.11218186310847542</v>
      </c>
      <c r="J914">
        <f>YEAR(Table1[[#This Row],[Order Date]])</f>
        <v>2023</v>
      </c>
      <c r="K914" t="str">
        <f>TEXT(Table1[[#This Row],[Order Date]], "MMM")</f>
        <v>Nov</v>
      </c>
    </row>
    <row r="915" spans="1:11">
      <c r="A915">
        <v>1720</v>
      </c>
      <c r="B915" s="4" t="s">
        <v>338</v>
      </c>
      <c r="C915" t="s">
        <v>17</v>
      </c>
      <c r="D915" t="s">
        <v>25</v>
      </c>
      <c r="E915" s="8">
        <v>1498</v>
      </c>
      <c r="F915" s="8">
        <v>196</v>
      </c>
      <c r="G915" t="s">
        <v>14</v>
      </c>
      <c r="H915" t="s">
        <v>19</v>
      </c>
      <c r="I915">
        <f>F915/E915</f>
        <v>0.13084112149532709</v>
      </c>
      <c r="J915">
        <f>YEAR(Table1[[#This Row],[Order Date]])</f>
        <v>2023</v>
      </c>
      <c r="K915" t="str">
        <f>TEXT(Table1[[#This Row],[Order Date]], "MMM")</f>
        <v>Nov</v>
      </c>
    </row>
    <row r="916" spans="1:11">
      <c r="A916">
        <v>1817</v>
      </c>
      <c r="B916" s="4" t="s">
        <v>338</v>
      </c>
      <c r="C916" t="s">
        <v>27</v>
      </c>
      <c r="D916" t="s">
        <v>22</v>
      </c>
      <c r="E916" s="8">
        <v>1848</v>
      </c>
      <c r="F916" s="8">
        <v>702</v>
      </c>
      <c r="G916" t="s">
        <v>30</v>
      </c>
      <c r="H916" t="s">
        <v>15</v>
      </c>
      <c r="I916">
        <f>F916/E916</f>
        <v>0.37987012987012986</v>
      </c>
      <c r="J916">
        <f>YEAR(Table1[[#This Row],[Order Date]])</f>
        <v>2023</v>
      </c>
      <c r="K916" t="str">
        <f>TEXT(Table1[[#This Row],[Order Date]], "MMM")</f>
        <v>Nov</v>
      </c>
    </row>
    <row r="917" spans="1:11">
      <c r="A917">
        <v>1878</v>
      </c>
      <c r="B917" s="4" t="s">
        <v>338</v>
      </c>
      <c r="C917" t="s">
        <v>29</v>
      </c>
      <c r="D917" t="s">
        <v>13</v>
      </c>
      <c r="E917" s="8">
        <v>3092</v>
      </c>
      <c r="F917" s="8">
        <v>271</v>
      </c>
      <c r="G917" t="s">
        <v>23</v>
      </c>
      <c r="H917" t="s">
        <v>15</v>
      </c>
      <c r="I917">
        <f>F917/E917</f>
        <v>8.7645536869340235E-2</v>
      </c>
      <c r="J917">
        <f>YEAR(Table1[[#This Row],[Order Date]])</f>
        <v>2023</v>
      </c>
      <c r="K917" t="str">
        <f>TEXT(Table1[[#This Row],[Order Date]], "MMM")</f>
        <v>Nov</v>
      </c>
    </row>
    <row r="918" spans="1:11">
      <c r="A918">
        <v>1978</v>
      </c>
      <c r="B918" s="4" t="s">
        <v>338</v>
      </c>
      <c r="C918" t="s">
        <v>28</v>
      </c>
      <c r="D918" t="s">
        <v>22</v>
      </c>
      <c r="E918" s="8">
        <v>1494</v>
      </c>
      <c r="F918" s="8">
        <v>584</v>
      </c>
      <c r="G918" t="s">
        <v>30</v>
      </c>
      <c r="H918" t="s">
        <v>15</v>
      </c>
      <c r="I918">
        <f>F918/E918</f>
        <v>0.39089692101740292</v>
      </c>
      <c r="J918">
        <f>YEAR(Table1[[#This Row],[Order Date]])</f>
        <v>2023</v>
      </c>
      <c r="K918" t="str">
        <f>TEXT(Table1[[#This Row],[Order Date]], "MMM")</f>
        <v>Nov</v>
      </c>
    </row>
    <row r="919" spans="1:11">
      <c r="A919">
        <v>1152</v>
      </c>
      <c r="B919" s="4" t="s">
        <v>339</v>
      </c>
      <c r="C919" t="s">
        <v>17</v>
      </c>
      <c r="D919" t="s">
        <v>13</v>
      </c>
      <c r="E919" s="8">
        <v>2134</v>
      </c>
      <c r="F919" s="8">
        <v>830</v>
      </c>
      <c r="G919" t="s">
        <v>14</v>
      </c>
      <c r="H919" t="s">
        <v>15</v>
      </c>
      <c r="I919">
        <f>F919/E919</f>
        <v>0.38894095595126521</v>
      </c>
      <c r="J919">
        <f>YEAR(Table1[[#This Row],[Order Date]])</f>
        <v>2023</v>
      </c>
      <c r="K919" t="str">
        <f>TEXT(Table1[[#This Row],[Order Date]], "MMM")</f>
        <v>Nov</v>
      </c>
    </row>
    <row r="920" spans="1:11">
      <c r="A920">
        <v>1229</v>
      </c>
      <c r="B920" s="4" t="s">
        <v>339</v>
      </c>
      <c r="C920" t="s">
        <v>21</v>
      </c>
      <c r="D920" t="s">
        <v>13</v>
      </c>
      <c r="E920" s="8">
        <v>2696</v>
      </c>
      <c r="F920" s="8">
        <v>880</v>
      </c>
      <c r="G920" t="s">
        <v>23</v>
      </c>
      <c r="H920" t="s">
        <v>15</v>
      </c>
      <c r="I920">
        <f>F920/E920</f>
        <v>0.32640949554896143</v>
      </c>
      <c r="J920">
        <f>YEAR(Table1[[#This Row],[Order Date]])</f>
        <v>2023</v>
      </c>
      <c r="K920" t="str">
        <f>TEXT(Table1[[#This Row],[Order Date]], "MMM")</f>
        <v>Nov</v>
      </c>
    </row>
    <row r="921" spans="1:11">
      <c r="A921">
        <v>1325</v>
      </c>
      <c r="B921" s="4" t="s">
        <v>339</v>
      </c>
      <c r="C921" t="s">
        <v>27</v>
      </c>
      <c r="D921" t="s">
        <v>25</v>
      </c>
      <c r="E921" s="8">
        <v>1842</v>
      </c>
      <c r="F921" s="8">
        <v>931</v>
      </c>
      <c r="G921" t="s">
        <v>23</v>
      </c>
      <c r="H921" t="s">
        <v>15</v>
      </c>
      <c r="I921">
        <f>F921/E921</f>
        <v>0.50542888165038002</v>
      </c>
      <c r="J921">
        <f>YEAR(Table1[[#This Row],[Order Date]])</f>
        <v>2023</v>
      </c>
      <c r="K921" t="str">
        <f>TEXT(Table1[[#This Row],[Order Date]], "MMM")</f>
        <v>Nov</v>
      </c>
    </row>
    <row r="922" spans="1:11">
      <c r="A922">
        <v>1239</v>
      </c>
      <c r="B922" s="4" t="s">
        <v>340</v>
      </c>
      <c r="C922" t="s">
        <v>28</v>
      </c>
      <c r="D922" t="s">
        <v>25</v>
      </c>
      <c r="E922" s="8">
        <v>265</v>
      </c>
      <c r="F922" s="8">
        <v>248</v>
      </c>
      <c r="G922" t="s">
        <v>23</v>
      </c>
      <c r="H922" t="s">
        <v>15</v>
      </c>
      <c r="I922">
        <f>F922/E922</f>
        <v>0.9358490566037736</v>
      </c>
      <c r="J922">
        <f>YEAR(Table1[[#This Row],[Order Date]])</f>
        <v>2023</v>
      </c>
      <c r="K922" t="str">
        <f>TEXT(Table1[[#This Row],[Order Date]], "MMM")</f>
        <v>Dec</v>
      </c>
    </row>
    <row r="923" spans="1:11">
      <c r="A923">
        <v>1172</v>
      </c>
      <c r="B923" s="4" t="s">
        <v>341</v>
      </c>
      <c r="C923" t="s">
        <v>29</v>
      </c>
      <c r="D923" t="s">
        <v>25</v>
      </c>
      <c r="E923" s="8">
        <v>2772</v>
      </c>
      <c r="F923" s="8">
        <v>548</v>
      </c>
      <c r="G923" t="s">
        <v>23</v>
      </c>
      <c r="H923" t="s">
        <v>19</v>
      </c>
      <c r="I923">
        <f>F923/E923</f>
        <v>0.1976911976911977</v>
      </c>
      <c r="J923">
        <f>YEAR(Table1[[#This Row],[Order Date]])</f>
        <v>2023</v>
      </c>
      <c r="K923" t="str">
        <f>TEXT(Table1[[#This Row],[Order Date]], "MMM")</f>
        <v>Dec</v>
      </c>
    </row>
    <row r="924" spans="1:11">
      <c r="A924">
        <v>1760</v>
      </c>
      <c r="B924" s="4" t="s">
        <v>341</v>
      </c>
      <c r="C924" t="s">
        <v>24</v>
      </c>
      <c r="D924" t="s">
        <v>25</v>
      </c>
      <c r="E924" s="8">
        <v>756</v>
      </c>
      <c r="F924" s="8">
        <v>846</v>
      </c>
      <c r="G924" t="s">
        <v>18</v>
      </c>
      <c r="H924" t="s">
        <v>19</v>
      </c>
      <c r="I924">
        <f>F924/E924</f>
        <v>1.1190476190476191</v>
      </c>
      <c r="J924">
        <f>YEAR(Table1[[#This Row],[Order Date]])</f>
        <v>2023</v>
      </c>
      <c r="K924" t="str">
        <f>TEXT(Table1[[#This Row],[Order Date]], "MMM")</f>
        <v>Dec</v>
      </c>
    </row>
    <row r="925" spans="1:11">
      <c r="A925">
        <v>1909</v>
      </c>
      <c r="B925" s="4" t="s">
        <v>341</v>
      </c>
      <c r="C925" t="s">
        <v>28</v>
      </c>
      <c r="D925" t="s">
        <v>25</v>
      </c>
      <c r="E925" s="8">
        <v>2931</v>
      </c>
      <c r="F925" s="8">
        <v>484</v>
      </c>
      <c r="G925" t="s">
        <v>14</v>
      </c>
      <c r="H925" t="s">
        <v>19</v>
      </c>
      <c r="I925">
        <f>F925/E925</f>
        <v>0.16513135448652336</v>
      </c>
      <c r="J925">
        <f>YEAR(Table1[[#This Row],[Order Date]])</f>
        <v>2023</v>
      </c>
      <c r="K925" t="str">
        <f>TEXT(Table1[[#This Row],[Order Date]], "MMM")</f>
        <v>Dec</v>
      </c>
    </row>
    <row r="926" spans="1:11">
      <c r="A926">
        <v>1105</v>
      </c>
      <c r="B926" s="4" t="s">
        <v>342</v>
      </c>
      <c r="C926" t="s">
        <v>29</v>
      </c>
      <c r="D926" t="s">
        <v>25</v>
      </c>
      <c r="E926" s="8">
        <v>2355</v>
      </c>
      <c r="F926" s="8">
        <v>950</v>
      </c>
      <c r="G926" t="s">
        <v>18</v>
      </c>
      <c r="H926" t="s">
        <v>19</v>
      </c>
      <c r="I926">
        <f>F926/E926</f>
        <v>0.40339702760084928</v>
      </c>
      <c r="J926">
        <f>YEAR(Table1[[#This Row],[Order Date]])</f>
        <v>2023</v>
      </c>
      <c r="K926" t="str">
        <f>TEXT(Table1[[#This Row],[Order Date]], "MMM")</f>
        <v>Dec</v>
      </c>
    </row>
    <row r="927" spans="1:11">
      <c r="A927">
        <v>1211</v>
      </c>
      <c r="B927" s="4" t="s">
        <v>342</v>
      </c>
      <c r="C927" t="s">
        <v>29</v>
      </c>
      <c r="D927" t="s">
        <v>22</v>
      </c>
      <c r="E927" s="8">
        <v>3634</v>
      </c>
      <c r="F927" s="8">
        <v>130</v>
      </c>
      <c r="G927" t="s">
        <v>23</v>
      </c>
      <c r="H927" t="s">
        <v>19</v>
      </c>
      <c r="I927">
        <f>F927/E927</f>
        <v>3.5773252614199232E-2</v>
      </c>
      <c r="J927">
        <f>YEAR(Table1[[#This Row],[Order Date]])</f>
        <v>2023</v>
      </c>
      <c r="K927" t="str">
        <f>TEXT(Table1[[#This Row],[Order Date]], "MMM")</f>
        <v>Dec</v>
      </c>
    </row>
    <row r="928" spans="1:11">
      <c r="A928">
        <v>1751</v>
      </c>
      <c r="B928" s="4" t="s">
        <v>342</v>
      </c>
      <c r="C928" t="s">
        <v>28</v>
      </c>
      <c r="D928" t="s">
        <v>13</v>
      </c>
      <c r="E928" s="8">
        <v>568</v>
      </c>
      <c r="F928" s="8">
        <v>776</v>
      </c>
      <c r="G928" t="s">
        <v>18</v>
      </c>
      <c r="H928" t="s">
        <v>19</v>
      </c>
      <c r="I928">
        <f>F928/E928</f>
        <v>1.3661971830985915</v>
      </c>
      <c r="J928">
        <f>YEAR(Table1[[#This Row],[Order Date]])</f>
        <v>2023</v>
      </c>
      <c r="K928" t="str">
        <f>TEXT(Table1[[#This Row],[Order Date]], "MMM")</f>
        <v>Dec</v>
      </c>
    </row>
    <row r="929" spans="1:11">
      <c r="A929">
        <v>1036</v>
      </c>
      <c r="B929" s="4" t="s">
        <v>343</v>
      </c>
      <c r="C929" t="s">
        <v>12</v>
      </c>
      <c r="D929" t="s">
        <v>22</v>
      </c>
      <c r="E929" s="8">
        <v>3520</v>
      </c>
      <c r="F929" s="8">
        <v>753</v>
      </c>
      <c r="G929" t="s">
        <v>14</v>
      </c>
      <c r="H929" t="s">
        <v>15</v>
      </c>
      <c r="I929">
        <f>F929/E929</f>
        <v>0.21392045454545455</v>
      </c>
      <c r="J929">
        <f>YEAR(Table1[[#This Row],[Order Date]])</f>
        <v>2023</v>
      </c>
      <c r="K929" t="str">
        <f>TEXT(Table1[[#This Row],[Order Date]], "MMM")</f>
        <v>Dec</v>
      </c>
    </row>
    <row r="930" spans="1:11">
      <c r="A930">
        <v>1513</v>
      </c>
      <c r="B930" s="4" t="s">
        <v>343</v>
      </c>
      <c r="C930" t="s">
        <v>12</v>
      </c>
      <c r="D930" t="s">
        <v>13</v>
      </c>
      <c r="E930" s="8">
        <v>1816</v>
      </c>
      <c r="F930" s="8">
        <v>981</v>
      </c>
      <c r="G930" t="s">
        <v>23</v>
      </c>
      <c r="H930" t="s">
        <v>15</v>
      </c>
      <c r="I930">
        <f>F930/E930</f>
        <v>0.54019823788546251</v>
      </c>
      <c r="J930">
        <f>YEAR(Table1[[#This Row],[Order Date]])</f>
        <v>2023</v>
      </c>
      <c r="K930" t="str">
        <f>TEXT(Table1[[#This Row],[Order Date]], "MMM")</f>
        <v>Dec</v>
      </c>
    </row>
    <row r="931" spans="1:11">
      <c r="A931">
        <v>1918</v>
      </c>
      <c r="B931" s="4" t="s">
        <v>343</v>
      </c>
      <c r="C931" t="s">
        <v>12</v>
      </c>
      <c r="D931" t="s">
        <v>22</v>
      </c>
      <c r="E931" s="8">
        <v>2810</v>
      </c>
      <c r="F931" s="8">
        <v>962</v>
      </c>
      <c r="G931" t="s">
        <v>30</v>
      </c>
      <c r="H931" t="s">
        <v>19</v>
      </c>
      <c r="I931">
        <f>F931/E931</f>
        <v>0.34234875444839857</v>
      </c>
      <c r="J931">
        <f>YEAR(Table1[[#This Row],[Order Date]])</f>
        <v>2023</v>
      </c>
      <c r="K931" t="str">
        <f>TEXT(Table1[[#This Row],[Order Date]], "MMM")</f>
        <v>Dec</v>
      </c>
    </row>
    <row r="932" spans="1:11">
      <c r="A932">
        <v>1260</v>
      </c>
      <c r="B932" s="4" t="s">
        <v>344</v>
      </c>
      <c r="C932" t="s">
        <v>17</v>
      </c>
      <c r="D932" t="s">
        <v>13</v>
      </c>
      <c r="E932" s="8">
        <v>913</v>
      </c>
      <c r="F932" s="8">
        <v>33</v>
      </c>
      <c r="G932" t="s">
        <v>18</v>
      </c>
      <c r="H932" t="s">
        <v>19</v>
      </c>
      <c r="I932">
        <f>F932/E932</f>
        <v>3.614457831325301E-2</v>
      </c>
      <c r="J932">
        <f>YEAR(Table1[[#This Row],[Order Date]])</f>
        <v>2023</v>
      </c>
      <c r="K932" t="str">
        <f>TEXT(Table1[[#This Row],[Order Date]], "MMM")</f>
        <v>Dec</v>
      </c>
    </row>
    <row r="933" spans="1:11">
      <c r="A933">
        <v>1368</v>
      </c>
      <c r="B933" s="4" t="s">
        <v>344</v>
      </c>
      <c r="C933" t="s">
        <v>24</v>
      </c>
      <c r="D933" t="s">
        <v>22</v>
      </c>
      <c r="E933" s="8">
        <v>1127</v>
      </c>
      <c r="F933" s="8">
        <v>951</v>
      </c>
      <c r="G933" t="s">
        <v>30</v>
      </c>
      <c r="H933" t="s">
        <v>19</v>
      </c>
      <c r="I933">
        <f>F933/E933</f>
        <v>0.84383318544809227</v>
      </c>
      <c r="J933">
        <f>YEAR(Table1[[#This Row],[Order Date]])</f>
        <v>2023</v>
      </c>
      <c r="K933" t="str">
        <f>TEXT(Table1[[#This Row],[Order Date]], "MMM")</f>
        <v>Dec</v>
      </c>
    </row>
    <row r="934" spans="1:11">
      <c r="A934">
        <v>1670</v>
      </c>
      <c r="B934" s="4" t="s">
        <v>344</v>
      </c>
      <c r="C934" t="s">
        <v>21</v>
      </c>
      <c r="D934" t="s">
        <v>25</v>
      </c>
      <c r="E934" s="8">
        <v>838</v>
      </c>
      <c r="F934" s="8">
        <v>553</v>
      </c>
      <c r="G934" t="s">
        <v>30</v>
      </c>
      <c r="H934" t="s">
        <v>19</v>
      </c>
      <c r="I934">
        <f>F934/E934</f>
        <v>0.65990453460620524</v>
      </c>
      <c r="J934">
        <f>YEAR(Table1[[#This Row],[Order Date]])</f>
        <v>2023</v>
      </c>
      <c r="K934" t="str">
        <f>TEXT(Table1[[#This Row],[Order Date]], "MMM")</f>
        <v>Dec</v>
      </c>
    </row>
    <row r="935" spans="1:11">
      <c r="A935">
        <v>1093</v>
      </c>
      <c r="B935" s="4" t="s">
        <v>345</v>
      </c>
      <c r="C935" t="s">
        <v>12</v>
      </c>
      <c r="D935" t="s">
        <v>25</v>
      </c>
      <c r="E935" s="8">
        <v>4538</v>
      </c>
      <c r="F935" s="8">
        <v>886</v>
      </c>
      <c r="G935" t="s">
        <v>18</v>
      </c>
      <c r="H935" t="s">
        <v>19</v>
      </c>
      <c r="I935">
        <f>F935/E935</f>
        <v>0.19524019391802555</v>
      </c>
      <c r="J935">
        <f>YEAR(Table1[[#This Row],[Order Date]])</f>
        <v>2023</v>
      </c>
      <c r="K935" t="str">
        <f>TEXT(Table1[[#This Row],[Order Date]], "MMM")</f>
        <v>Dec</v>
      </c>
    </row>
    <row r="936" spans="1:11">
      <c r="A936">
        <v>1226</v>
      </c>
      <c r="B936" s="4" t="s">
        <v>345</v>
      </c>
      <c r="C936" t="s">
        <v>24</v>
      </c>
      <c r="D936" t="s">
        <v>25</v>
      </c>
      <c r="E936" s="8">
        <v>3321</v>
      </c>
      <c r="F936" s="8">
        <v>396</v>
      </c>
      <c r="G936" t="s">
        <v>30</v>
      </c>
      <c r="H936" t="s">
        <v>15</v>
      </c>
      <c r="I936">
        <f>F936/E936</f>
        <v>0.11924119241192412</v>
      </c>
      <c r="J936">
        <f>YEAR(Table1[[#This Row],[Order Date]])</f>
        <v>2023</v>
      </c>
      <c r="K936" t="str">
        <f>TEXT(Table1[[#This Row],[Order Date]], "MMM")</f>
        <v>Dec</v>
      </c>
    </row>
    <row r="937" spans="1:11">
      <c r="A937">
        <v>1551</v>
      </c>
      <c r="B937" s="4" t="s">
        <v>345</v>
      </c>
      <c r="C937" t="s">
        <v>12</v>
      </c>
      <c r="D937" t="s">
        <v>25</v>
      </c>
      <c r="E937" s="8">
        <v>2227</v>
      </c>
      <c r="F937" s="8">
        <v>23</v>
      </c>
      <c r="G937" t="s">
        <v>18</v>
      </c>
      <c r="H937" t="s">
        <v>15</v>
      </c>
      <c r="I937">
        <f>F937/E937</f>
        <v>1.0327795240233499E-2</v>
      </c>
      <c r="J937">
        <f>YEAR(Table1[[#This Row],[Order Date]])</f>
        <v>2023</v>
      </c>
      <c r="K937" t="str">
        <f>TEXT(Table1[[#This Row],[Order Date]], "MMM")</f>
        <v>Dec</v>
      </c>
    </row>
    <row r="938" spans="1:11">
      <c r="A938">
        <v>1923</v>
      </c>
      <c r="B938" s="4" t="s">
        <v>345</v>
      </c>
      <c r="C938" t="s">
        <v>17</v>
      </c>
      <c r="D938" t="s">
        <v>25</v>
      </c>
      <c r="E938" s="8">
        <v>3999</v>
      </c>
      <c r="F938" s="8">
        <v>925</v>
      </c>
      <c r="G938" t="s">
        <v>23</v>
      </c>
      <c r="H938" t="s">
        <v>15</v>
      </c>
      <c r="I938">
        <f>F938/E938</f>
        <v>0.23130782695673918</v>
      </c>
      <c r="J938">
        <f>YEAR(Table1[[#This Row],[Order Date]])</f>
        <v>2023</v>
      </c>
      <c r="K938" t="str">
        <f>TEXT(Table1[[#This Row],[Order Date]], "MMM")</f>
        <v>Dec</v>
      </c>
    </row>
    <row r="939" spans="1:11">
      <c r="A939">
        <v>1188</v>
      </c>
      <c r="B939" s="4" t="s">
        <v>346</v>
      </c>
      <c r="C939" t="s">
        <v>29</v>
      </c>
      <c r="D939" t="s">
        <v>25</v>
      </c>
      <c r="E939" s="8">
        <v>4352</v>
      </c>
      <c r="F939" s="8">
        <v>641</v>
      </c>
      <c r="G939" t="s">
        <v>30</v>
      </c>
      <c r="H939" t="s">
        <v>15</v>
      </c>
      <c r="I939">
        <f>F939/E939</f>
        <v>0.14728860294117646</v>
      </c>
      <c r="J939">
        <f>YEAR(Table1[[#This Row],[Order Date]])</f>
        <v>2023</v>
      </c>
      <c r="K939" t="str">
        <f>TEXT(Table1[[#This Row],[Order Date]], "MMM")</f>
        <v>Dec</v>
      </c>
    </row>
    <row r="940" spans="1:11">
      <c r="A940">
        <v>1234</v>
      </c>
      <c r="B940" s="4" t="s">
        <v>346</v>
      </c>
      <c r="C940" t="s">
        <v>17</v>
      </c>
      <c r="D940" t="s">
        <v>13</v>
      </c>
      <c r="E940" s="8">
        <v>3138</v>
      </c>
      <c r="F940" s="8">
        <v>839</v>
      </c>
      <c r="G940" t="s">
        <v>18</v>
      </c>
      <c r="H940" t="s">
        <v>15</v>
      </c>
      <c r="I940">
        <f>F940/E940</f>
        <v>0.26736775015933717</v>
      </c>
      <c r="J940">
        <f>YEAR(Table1[[#This Row],[Order Date]])</f>
        <v>2023</v>
      </c>
      <c r="K940" t="str">
        <f>TEXT(Table1[[#This Row],[Order Date]], "MMM")</f>
        <v>Dec</v>
      </c>
    </row>
    <row r="941" spans="1:11">
      <c r="A941">
        <v>1252</v>
      </c>
      <c r="B941" s="4" t="s">
        <v>346</v>
      </c>
      <c r="C941" t="s">
        <v>24</v>
      </c>
      <c r="D941" t="s">
        <v>25</v>
      </c>
      <c r="E941" s="8">
        <v>3749</v>
      </c>
      <c r="F941" s="8">
        <v>298</v>
      </c>
      <c r="G941" t="s">
        <v>23</v>
      </c>
      <c r="H941" t="s">
        <v>15</v>
      </c>
      <c r="I941">
        <f>F941/E941</f>
        <v>7.9487863430248065E-2</v>
      </c>
      <c r="J941">
        <f>YEAR(Table1[[#This Row],[Order Date]])</f>
        <v>2023</v>
      </c>
      <c r="K941" t="str">
        <f>TEXT(Table1[[#This Row],[Order Date]], "MMM")</f>
        <v>Dec</v>
      </c>
    </row>
    <row r="942" spans="1:11">
      <c r="A942">
        <v>1560</v>
      </c>
      <c r="B942" s="4" t="s">
        <v>346</v>
      </c>
      <c r="C942" t="s">
        <v>29</v>
      </c>
      <c r="D942" t="s">
        <v>25</v>
      </c>
      <c r="E942" s="8">
        <v>2232</v>
      </c>
      <c r="F942" s="8">
        <v>126</v>
      </c>
      <c r="G942" t="s">
        <v>18</v>
      </c>
      <c r="H942" t="s">
        <v>15</v>
      </c>
      <c r="I942">
        <f>F942/E942</f>
        <v>5.6451612903225805E-2</v>
      </c>
      <c r="J942">
        <f>YEAR(Table1[[#This Row],[Order Date]])</f>
        <v>2023</v>
      </c>
      <c r="K942" t="str">
        <f>TEXT(Table1[[#This Row],[Order Date]], "MMM")</f>
        <v>Dec</v>
      </c>
    </row>
    <row r="943" spans="1:11">
      <c r="A943">
        <v>1597</v>
      </c>
      <c r="B943" s="4" t="s">
        <v>346</v>
      </c>
      <c r="C943" t="s">
        <v>17</v>
      </c>
      <c r="D943" t="s">
        <v>25</v>
      </c>
      <c r="E943" s="8">
        <v>1669</v>
      </c>
      <c r="F943" s="8">
        <v>711</v>
      </c>
      <c r="G943" t="s">
        <v>14</v>
      </c>
      <c r="H943" t="s">
        <v>15</v>
      </c>
      <c r="I943">
        <f>F943/E943</f>
        <v>0.42600359496704615</v>
      </c>
      <c r="J943">
        <f>YEAR(Table1[[#This Row],[Order Date]])</f>
        <v>2023</v>
      </c>
      <c r="K943" t="str">
        <f>TEXT(Table1[[#This Row],[Order Date]], "MMM")</f>
        <v>Dec</v>
      </c>
    </row>
    <row r="944" spans="1:11">
      <c r="A944">
        <v>1645</v>
      </c>
      <c r="B944" s="4" t="s">
        <v>346</v>
      </c>
      <c r="C944" t="s">
        <v>17</v>
      </c>
      <c r="D944" t="s">
        <v>25</v>
      </c>
      <c r="E944" s="8">
        <v>1036</v>
      </c>
      <c r="F944" s="8">
        <v>193</v>
      </c>
      <c r="G944" t="s">
        <v>30</v>
      </c>
      <c r="H944" t="s">
        <v>15</v>
      </c>
      <c r="I944">
        <f>F944/E944</f>
        <v>0.18629343629343628</v>
      </c>
      <c r="J944">
        <f>YEAR(Table1[[#This Row],[Order Date]])</f>
        <v>2023</v>
      </c>
      <c r="K944" t="str">
        <f>TEXT(Table1[[#This Row],[Order Date]], "MMM")</f>
        <v>Dec</v>
      </c>
    </row>
    <row r="945" spans="1:11">
      <c r="A945">
        <v>1758</v>
      </c>
      <c r="B945" s="4" t="s">
        <v>346</v>
      </c>
      <c r="C945" t="s">
        <v>29</v>
      </c>
      <c r="D945" t="s">
        <v>22</v>
      </c>
      <c r="E945" s="8">
        <v>1822</v>
      </c>
      <c r="F945" s="8">
        <v>383</v>
      </c>
      <c r="G945" t="s">
        <v>23</v>
      </c>
      <c r="H945" t="s">
        <v>19</v>
      </c>
      <c r="I945">
        <f>F945/E945</f>
        <v>0.21020856201975852</v>
      </c>
      <c r="J945">
        <f>YEAR(Table1[[#This Row],[Order Date]])</f>
        <v>2023</v>
      </c>
      <c r="K945" t="str">
        <f>TEXT(Table1[[#This Row],[Order Date]], "MMM")</f>
        <v>Dec</v>
      </c>
    </row>
    <row r="946" spans="1:11">
      <c r="A946">
        <v>1642</v>
      </c>
      <c r="B946" s="4" t="s">
        <v>347</v>
      </c>
      <c r="C946" t="s">
        <v>27</v>
      </c>
      <c r="D946" t="s">
        <v>13</v>
      </c>
      <c r="E946" s="8">
        <v>3630</v>
      </c>
      <c r="F946" s="8">
        <v>550</v>
      </c>
      <c r="G946" t="s">
        <v>14</v>
      </c>
      <c r="H946" t="s">
        <v>19</v>
      </c>
      <c r="I946">
        <f>F946/E946</f>
        <v>0.15151515151515152</v>
      </c>
      <c r="J946">
        <f>YEAR(Table1[[#This Row],[Order Date]])</f>
        <v>2023</v>
      </c>
      <c r="K946" t="str">
        <f>TEXT(Table1[[#This Row],[Order Date]], "MMM")</f>
        <v>Dec</v>
      </c>
    </row>
    <row r="947" spans="1:11">
      <c r="A947">
        <v>1704</v>
      </c>
      <c r="B947" s="4" t="s">
        <v>347</v>
      </c>
      <c r="C947" t="s">
        <v>17</v>
      </c>
      <c r="D947" t="s">
        <v>13</v>
      </c>
      <c r="E947" s="8">
        <v>2510</v>
      </c>
      <c r="F947" s="8">
        <v>29</v>
      </c>
      <c r="G947" t="s">
        <v>18</v>
      </c>
      <c r="H947" t="s">
        <v>15</v>
      </c>
      <c r="I947">
        <f>F947/E947</f>
        <v>1.1553784860557768E-2</v>
      </c>
      <c r="J947">
        <f>YEAR(Table1[[#This Row],[Order Date]])</f>
        <v>2023</v>
      </c>
      <c r="K947" t="str">
        <f>TEXT(Table1[[#This Row],[Order Date]], "MMM")</f>
        <v>Dec</v>
      </c>
    </row>
    <row r="948" spans="1:11">
      <c r="A948">
        <v>1091</v>
      </c>
      <c r="B948" s="4" t="s">
        <v>348</v>
      </c>
      <c r="C948" t="s">
        <v>24</v>
      </c>
      <c r="D948" t="s">
        <v>13</v>
      </c>
      <c r="E948" s="8">
        <v>3392</v>
      </c>
      <c r="F948" s="8">
        <v>214</v>
      </c>
      <c r="G948" t="s">
        <v>30</v>
      </c>
      <c r="H948" t="s">
        <v>15</v>
      </c>
      <c r="I948">
        <f>F948/E948</f>
        <v>6.3089622641509441E-2</v>
      </c>
      <c r="J948">
        <f>YEAR(Table1[[#This Row],[Order Date]])</f>
        <v>2023</v>
      </c>
      <c r="K948" t="str">
        <f>TEXT(Table1[[#This Row],[Order Date]], "MMM")</f>
        <v>Dec</v>
      </c>
    </row>
    <row r="949" spans="1:11">
      <c r="A949">
        <v>1880</v>
      </c>
      <c r="B949" s="4" t="s">
        <v>348</v>
      </c>
      <c r="C949" t="s">
        <v>27</v>
      </c>
      <c r="D949" t="s">
        <v>13</v>
      </c>
      <c r="E949" s="8">
        <v>2897</v>
      </c>
      <c r="F949" s="8">
        <v>171</v>
      </c>
      <c r="G949" t="s">
        <v>18</v>
      </c>
      <c r="H949" t="s">
        <v>15</v>
      </c>
      <c r="I949">
        <f>F949/E949</f>
        <v>5.9026579219882636E-2</v>
      </c>
      <c r="J949">
        <f>YEAR(Table1[[#This Row],[Order Date]])</f>
        <v>2023</v>
      </c>
      <c r="K949" t="str">
        <f>TEXT(Table1[[#This Row],[Order Date]], "MMM")</f>
        <v>Dec</v>
      </c>
    </row>
    <row r="950" spans="1:11">
      <c r="A950">
        <v>1885</v>
      </c>
      <c r="B950" s="4" t="s">
        <v>348</v>
      </c>
      <c r="C950" t="s">
        <v>27</v>
      </c>
      <c r="D950" t="s">
        <v>13</v>
      </c>
      <c r="E950" s="8">
        <v>537</v>
      </c>
      <c r="F950" s="8">
        <v>740</v>
      </c>
      <c r="G950" t="s">
        <v>18</v>
      </c>
      <c r="H950" t="s">
        <v>19</v>
      </c>
      <c r="I950">
        <f>F950/E950</f>
        <v>1.378026070763501</v>
      </c>
      <c r="J950">
        <f>YEAR(Table1[[#This Row],[Order Date]])</f>
        <v>2023</v>
      </c>
      <c r="K950" t="str">
        <f>TEXT(Table1[[#This Row],[Order Date]], "MMM")</f>
        <v>Dec</v>
      </c>
    </row>
    <row r="951" spans="1:11">
      <c r="A951">
        <v>1545</v>
      </c>
      <c r="B951" s="4" t="s">
        <v>349</v>
      </c>
      <c r="C951" t="s">
        <v>12</v>
      </c>
      <c r="D951" t="s">
        <v>22</v>
      </c>
      <c r="E951" s="8">
        <v>2203</v>
      </c>
      <c r="F951" s="8">
        <v>398</v>
      </c>
      <c r="G951" t="s">
        <v>30</v>
      </c>
      <c r="H951" t="s">
        <v>19</v>
      </c>
      <c r="I951">
        <f>F951/E951</f>
        <v>0.18066273263731275</v>
      </c>
      <c r="J951">
        <f>YEAR(Table1[[#This Row],[Order Date]])</f>
        <v>2023</v>
      </c>
      <c r="K951" t="str">
        <f>TEXT(Table1[[#This Row],[Order Date]], "MMM")</f>
        <v>Dec</v>
      </c>
    </row>
    <row r="952" spans="1:11">
      <c r="A952">
        <v>1727</v>
      </c>
      <c r="B952" s="4" t="s">
        <v>349</v>
      </c>
      <c r="C952" t="s">
        <v>29</v>
      </c>
      <c r="D952" t="s">
        <v>25</v>
      </c>
      <c r="E952" s="8">
        <v>1671</v>
      </c>
      <c r="F952" s="8">
        <v>682</v>
      </c>
      <c r="G952" t="s">
        <v>14</v>
      </c>
      <c r="H952" t="s">
        <v>15</v>
      </c>
      <c r="I952">
        <f>F952/E952</f>
        <v>0.40813883901855175</v>
      </c>
      <c r="J952">
        <f>YEAR(Table1[[#This Row],[Order Date]])</f>
        <v>2023</v>
      </c>
      <c r="K952" t="str">
        <f>TEXT(Table1[[#This Row],[Order Date]], "MMM")</f>
        <v>Dec</v>
      </c>
    </row>
    <row r="953" spans="1:11">
      <c r="A953">
        <v>1298</v>
      </c>
      <c r="B953" s="4" t="s">
        <v>350</v>
      </c>
      <c r="C953" t="s">
        <v>27</v>
      </c>
      <c r="D953" t="s">
        <v>13</v>
      </c>
      <c r="E953" s="8">
        <v>4924</v>
      </c>
      <c r="F953" s="8">
        <v>538</v>
      </c>
      <c r="G953" t="s">
        <v>18</v>
      </c>
      <c r="H953" t="s">
        <v>19</v>
      </c>
      <c r="I953">
        <f>F953/E953</f>
        <v>0.10926076360682373</v>
      </c>
      <c r="J953">
        <f>YEAR(Table1[[#This Row],[Order Date]])</f>
        <v>2023</v>
      </c>
      <c r="K953" t="str">
        <f>TEXT(Table1[[#This Row],[Order Date]], "MMM")</f>
        <v>Dec</v>
      </c>
    </row>
    <row r="954" spans="1:11">
      <c r="A954">
        <v>1418</v>
      </c>
      <c r="B954" s="4" t="s">
        <v>350</v>
      </c>
      <c r="C954" t="s">
        <v>17</v>
      </c>
      <c r="D954" t="s">
        <v>13</v>
      </c>
      <c r="E954" s="8">
        <v>4159</v>
      </c>
      <c r="F954" s="8">
        <v>956</v>
      </c>
      <c r="G954" t="s">
        <v>23</v>
      </c>
      <c r="H954" t="s">
        <v>19</v>
      </c>
      <c r="I954">
        <f>F954/E954</f>
        <v>0.22986294782399616</v>
      </c>
      <c r="J954">
        <f>YEAR(Table1[[#This Row],[Order Date]])</f>
        <v>2023</v>
      </c>
      <c r="K954" t="str">
        <f>TEXT(Table1[[#This Row],[Order Date]], "MMM")</f>
        <v>Dec</v>
      </c>
    </row>
    <row r="955" spans="1:11">
      <c r="A955">
        <v>1919</v>
      </c>
      <c r="B955" s="4" t="s">
        <v>350</v>
      </c>
      <c r="C955" t="s">
        <v>24</v>
      </c>
      <c r="D955" t="s">
        <v>13</v>
      </c>
      <c r="E955" s="8">
        <v>932</v>
      </c>
      <c r="F955" s="8">
        <v>74</v>
      </c>
      <c r="G955" t="s">
        <v>18</v>
      </c>
      <c r="H955" t="s">
        <v>15</v>
      </c>
      <c r="I955">
        <f>F955/E955</f>
        <v>7.9399141630901282E-2</v>
      </c>
      <c r="J955">
        <f>YEAR(Table1[[#This Row],[Order Date]])</f>
        <v>2023</v>
      </c>
      <c r="K955" t="str">
        <f>TEXT(Table1[[#This Row],[Order Date]], "MMM")</f>
        <v>Dec</v>
      </c>
    </row>
    <row r="956" spans="1:11">
      <c r="A956">
        <v>1273</v>
      </c>
      <c r="B956" s="4" t="s">
        <v>351</v>
      </c>
      <c r="C956" t="s">
        <v>21</v>
      </c>
      <c r="D956" t="s">
        <v>13</v>
      </c>
      <c r="E956" s="8">
        <v>3167</v>
      </c>
      <c r="F956" s="8">
        <v>777</v>
      </c>
      <c r="G956" t="s">
        <v>14</v>
      </c>
      <c r="H956" t="s">
        <v>15</v>
      </c>
      <c r="I956">
        <f>F956/E956</f>
        <v>0.24534259551626145</v>
      </c>
      <c r="J956">
        <f>YEAR(Table1[[#This Row],[Order Date]])</f>
        <v>2023</v>
      </c>
      <c r="K956" t="str">
        <f>TEXT(Table1[[#This Row],[Order Date]], "MMM")</f>
        <v>Dec</v>
      </c>
    </row>
    <row r="957" spans="1:11">
      <c r="A957">
        <v>1628</v>
      </c>
      <c r="B957" s="4" t="s">
        <v>351</v>
      </c>
      <c r="C957" t="s">
        <v>17</v>
      </c>
      <c r="D957" t="s">
        <v>13</v>
      </c>
      <c r="E957" s="8">
        <v>1035</v>
      </c>
      <c r="F957" s="8">
        <v>778</v>
      </c>
      <c r="G957" t="s">
        <v>23</v>
      </c>
      <c r="H957" t="s">
        <v>15</v>
      </c>
      <c r="I957">
        <f>F957/E957</f>
        <v>0.7516908212560387</v>
      </c>
      <c r="J957">
        <f>YEAR(Table1[[#This Row],[Order Date]])</f>
        <v>2023</v>
      </c>
      <c r="K957" t="str">
        <f>TEXT(Table1[[#This Row],[Order Date]], "MMM")</f>
        <v>Dec</v>
      </c>
    </row>
    <row r="958" spans="1:11">
      <c r="A958">
        <v>1681</v>
      </c>
      <c r="B958" s="4" t="s">
        <v>351</v>
      </c>
      <c r="C958" t="s">
        <v>12</v>
      </c>
      <c r="D958" t="s">
        <v>22</v>
      </c>
      <c r="E958" s="8">
        <v>813</v>
      </c>
      <c r="F958" s="8">
        <v>48</v>
      </c>
      <c r="G958" t="s">
        <v>14</v>
      </c>
      <c r="H958" t="s">
        <v>19</v>
      </c>
      <c r="I958">
        <f>F958/E958</f>
        <v>5.9040590405904057E-2</v>
      </c>
      <c r="J958">
        <f>YEAR(Table1[[#This Row],[Order Date]])</f>
        <v>2023</v>
      </c>
      <c r="K958" t="str">
        <f>TEXT(Table1[[#This Row],[Order Date]], "MMM")</f>
        <v>Dec</v>
      </c>
    </row>
    <row r="959" spans="1:11">
      <c r="A959">
        <v>1285</v>
      </c>
      <c r="B959" s="4" t="s">
        <v>352</v>
      </c>
      <c r="C959" t="s">
        <v>12</v>
      </c>
      <c r="D959" t="s">
        <v>22</v>
      </c>
      <c r="E959" s="8">
        <v>4151</v>
      </c>
      <c r="F959" s="8">
        <v>220</v>
      </c>
      <c r="G959" t="s">
        <v>18</v>
      </c>
      <c r="H959" t="s">
        <v>15</v>
      </c>
      <c r="I959">
        <f>F959/E959</f>
        <v>5.299927728258251E-2</v>
      </c>
      <c r="J959">
        <f>YEAR(Table1[[#This Row],[Order Date]])</f>
        <v>2023</v>
      </c>
      <c r="K959" t="str">
        <f>TEXT(Table1[[#This Row],[Order Date]], "MMM")</f>
        <v>Dec</v>
      </c>
    </row>
    <row r="960" spans="1:11">
      <c r="A960">
        <v>1776</v>
      </c>
      <c r="B960" s="4" t="s">
        <v>352</v>
      </c>
      <c r="C960" t="s">
        <v>12</v>
      </c>
      <c r="D960" t="s">
        <v>13</v>
      </c>
      <c r="E960" s="8">
        <v>1233</v>
      </c>
      <c r="F960" s="8">
        <v>756</v>
      </c>
      <c r="G960" t="s">
        <v>23</v>
      </c>
      <c r="H960" t="s">
        <v>19</v>
      </c>
      <c r="I960">
        <f>F960/E960</f>
        <v>0.61313868613138689</v>
      </c>
      <c r="J960">
        <f>YEAR(Table1[[#This Row],[Order Date]])</f>
        <v>2023</v>
      </c>
      <c r="K960" t="str">
        <f>TEXT(Table1[[#This Row],[Order Date]], "MMM")</f>
        <v>Dec</v>
      </c>
    </row>
    <row r="961" spans="1:11">
      <c r="A961">
        <v>1503</v>
      </c>
      <c r="B961" s="4" t="s">
        <v>353</v>
      </c>
      <c r="C961" t="s">
        <v>29</v>
      </c>
      <c r="D961" t="s">
        <v>25</v>
      </c>
      <c r="E961" s="8">
        <v>4403</v>
      </c>
      <c r="F961" s="8">
        <v>396</v>
      </c>
      <c r="G961" t="s">
        <v>30</v>
      </c>
      <c r="H961" t="s">
        <v>15</v>
      </c>
      <c r="I961">
        <f>F961/E961</f>
        <v>8.9938678173972289E-2</v>
      </c>
      <c r="J961">
        <f>YEAR(Table1[[#This Row],[Order Date]])</f>
        <v>2023</v>
      </c>
      <c r="K961" t="str">
        <f>TEXT(Table1[[#This Row],[Order Date]], "MMM")</f>
        <v>Dec</v>
      </c>
    </row>
    <row r="962" spans="1:11">
      <c r="A962">
        <v>1703</v>
      </c>
      <c r="B962" s="4" t="s">
        <v>353</v>
      </c>
      <c r="C962" t="s">
        <v>12</v>
      </c>
      <c r="D962" t="s">
        <v>22</v>
      </c>
      <c r="E962" s="8">
        <v>634</v>
      </c>
      <c r="F962" s="8">
        <v>583</v>
      </c>
      <c r="G962" t="s">
        <v>18</v>
      </c>
      <c r="H962" t="s">
        <v>15</v>
      </c>
      <c r="I962">
        <f>F962/E962</f>
        <v>0.91955835962145105</v>
      </c>
      <c r="J962">
        <f>YEAR(Table1[[#This Row],[Order Date]])</f>
        <v>2023</v>
      </c>
      <c r="K962" t="str">
        <f>TEXT(Table1[[#This Row],[Order Date]], "MMM")</f>
        <v>Dec</v>
      </c>
    </row>
    <row r="963" spans="1:11">
      <c r="A963">
        <v>1018</v>
      </c>
      <c r="B963" s="4" t="s">
        <v>354</v>
      </c>
      <c r="C963" t="s">
        <v>28</v>
      </c>
      <c r="D963" t="s">
        <v>25</v>
      </c>
      <c r="E963" s="8">
        <v>3492</v>
      </c>
      <c r="F963" s="8">
        <v>369</v>
      </c>
      <c r="G963" t="s">
        <v>23</v>
      </c>
      <c r="H963" t="s">
        <v>19</v>
      </c>
      <c r="I963">
        <f>F963/E963</f>
        <v>0.1056701030927835</v>
      </c>
      <c r="J963">
        <f>YEAR(Table1[[#This Row],[Order Date]])</f>
        <v>2023</v>
      </c>
      <c r="K963" t="str">
        <f>TEXT(Table1[[#This Row],[Order Date]], "MMM")</f>
        <v>Dec</v>
      </c>
    </row>
    <row r="964" spans="1:11">
      <c r="A964">
        <v>1033</v>
      </c>
      <c r="B964" s="4" t="s">
        <v>355</v>
      </c>
      <c r="C964" t="s">
        <v>12</v>
      </c>
      <c r="D964" t="s">
        <v>25</v>
      </c>
      <c r="E964" s="8">
        <v>3438</v>
      </c>
      <c r="F964" s="8">
        <v>410</v>
      </c>
      <c r="G964" t="s">
        <v>23</v>
      </c>
      <c r="H964" t="s">
        <v>19</v>
      </c>
      <c r="I964">
        <f>F964/E964</f>
        <v>0.11925538103548575</v>
      </c>
      <c r="J964">
        <f>YEAR(Table1[[#This Row],[Order Date]])</f>
        <v>2023</v>
      </c>
      <c r="K964" t="str">
        <f>TEXT(Table1[[#This Row],[Order Date]], "MMM")</f>
        <v>Dec</v>
      </c>
    </row>
    <row r="965" spans="1:11">
      <c r="A965">
        <v>1675</v>
      </c>
      <c r="B965" s="4" t="s">
        <v>355</v>
      </c>
      <c r="C965" t="s">
        <v>21</v>
      </c>
      <c r="D965" t="s">
        <v>22</v>
      </c>
      <c r="E965" s="8">
        <v>1721</v>
      </c>
      <c r="F965" s="8">
        <v>927</v>
      </c>
      <c r="G965" t="s">
        <v>14</v>
      </c>
      <c r="H965" t="s">
        <v>15</v>
      </c>
      <c r="I965">
        <f>F965/E965</f>
        <v>0.53864032539221385</v>
      </c>
      <c r="J965">
        <f>YEAR(Table1[[#This Row],[Order Date]])</f>
        <v>2023</v>
      </c>
      <c r="K965" t="str">
        <f>TEXT(Table1[[#This Row],[Order Date]], "MMM")</f>
        <v>Dec</v>
      </c>
    </row>
    <row r="966" spans="1:11">
      <c r="A966">
        <v>1711</v>
      </c>
      <c r="B966" s="4" t="s">
        <v>355</v>
      </c>
      <c r="C966" t="s">
        <v>29</v>
      </c>
      <c r="D966" t="s">
        <v>22</v>
      </c>
      <c r="E966" s="8">
        <v>3541</v>
      </c>
      <c r="F966" s="8">
        <v>212</v>
      </c>
      <c r="G966" t="s">
        <v>23</v>
      </c>
      <c r="H966" t="s">
        <v>15</v>
      </c>
      <c r="I966">
        <f>F966/E966</f>
        <v>5.9870093194012992E-2</v>
      </c>
      <c r="J966">
        <f>YEAR(Table1[[#This Row],[Order Date]])</f>
        <v>2023</v>
      </c>
      <c r="K966" t="str">
        <f>TEXT(Table1[[#This Row],[Order Date]], "MMM")</f>
        <v>Dec</v>
      </c>
    </row>
    <row r="967" spans="1:11">
      <c r="A967">
        <v>1777</v>
      </c>
      <c r="B967" s="4" t="s">
        <v>355</v>
      </c>
      <c r="C967" t="s">
        <v>24</v>
      </c>
      <c r="D967" t="s">
        <v>13</v>
      </c>
      <c r="E967" s="8">
        <v>4534</v>
      </c>
      <c r="F967" s="8">
        <v>455</v>
      </c>
      <c r="G967" t="s">
        <v>18</v>
      </c>
      <c r="H967" t="s">
        <v>15</v>
      </c>
      <c r="I967">
        <f>F967/E967</f>
        <v>0.10035288928098809</v>
      </c>
      <c r="J967">
        <f>YEAR(Table1[[#This Row],[Order Date]])</f>
        <v>2023</v>
      </c>
      <c r="K967" t="str">
        <f>TEXT(Table1[[#This Row],[Order Date]], "MMM")</f>
        <v>Dec</v>
      </c>
    </row>
    <row r="968" spans="1:11">
      <c r="A968">
        <v>1806</v>
      </c>
      <c r="B968" s="4" t="s">
        <v>355</v>
      </c>
      <c r="C968" t="s">
        <v>17</v>
      </c>
      <c r="D968" t="s">
        <v>13</v>
      </c>
      <c r="E968" s="8">
        <v>4159</v>
      </c>
      <c r="F968" s="8">
        <v>166</v>
      </c>
      <c r="G968" t="s">
        <v>18</v>
      </c>
      <c r="H968" t="s">
        <v>15</v>
      </c>
      <c r="I968">
        <f>F968/E968</f>
        <v>3.9913440730944938E-2</v>
      </c>
      <c r="J968">
        <f>YEAR(Table1[[#This Row],[Order Date]])</f>
        <v>2023</v>
      </c>
      <c r="K968" t="str">
        <f>TEXT(Table1[[#This Row],[Order Date]], "MMM")</f>
        <v>Dec</v>
      </c>
    </row>
    <row r="969" spans="1:11">
      <c r="A969">
        <v>1810</v>
      </c>
      <c r="B969" s="4" t="s">
        <v>355</v>
      </c>
      <c r="C969" t="s">
        <v>27</v>
      </c>
      <c r="D969" t="s">
        <v>25</v>
      </c>
      <c r="E969" s="8">
        <v>4733</v>
      </c>
      <c r="F969" s="8">
        <v>697</v>
      </c>
      <c r="G969" t="s">
        <v>14</v>
      </c>
      <c r="H969" t="s">
        <v>19</v>
      </c>
      <c r="I969">
        <f>F969/E969</f>
        <v>0.14726389182336785</v>
      </c>
      <c r="J969">
        <f>YEAR(Table1[[#This Row],[Order Date]])</f>
        <v>2023</v>
      </c>
      <c r="K969" t="str">
        <f>TEXT(Table1[[#This Row],[Order Date]], "MMM")</f>
        <v>Dec</v>
      </c>
    </row>
    <row r="970" spans="1:11">
      <c r="A970">
        <v>1203</v>
      </c>
      <c r="B970" s="4" t="s">
        <v>356</v>
      </c>
      <c r="C970" t="s">
        <v>29</v>
      </c>
      <c r="D970" t="s">
        <v>13</v>
      </c>
      <c r="E970" s="8">
        <v>4149</v>
      </c>
      <c r="F970" s="8">
        <v>779</v>
      </c>
      <c r="G970" t="s">
        <v>30</v>
      </c>
      <c r="H970" t="s">
        <v>15</v>
      </c>
      <c r="I970">
        <f>F970/E970</f>
        <v>0.18775608580380815</v>
      </c>
      <c r="J970">
        <f>YEAR(Table1[[#This Row],[Order Date]])</f>
        <v>2023</v>
      </c>
      <c r="K970" t="str">
        <f>TEXT(Table1[[#This Row],[Order Date]], "MMM")</f>
        <v>Dec</v>
      </c>
    </row>
    <row r="971" spans="1:11">
      <c r="A971">
        <v>1054</v>
      </c>
      <c r="B971" s="4" t="s">
        <v>357</v>
      </c>
      <c r="C971" t="s">
        <v>17</v>
      </c>
      <c r="D971" t="s">
        <v>13</v>
      </c>
      <c r="E971" s="8">
        <v>291</v>
      </c>
      <c r="F971" s="8">
        <v>817</v>
      </c>
      <c r="G971" t="s">
        <v>23</v>
      </c>
      <c r="H971" t="s">
        <v>15</v>
      </c>
      <c r="I971">
        <f>F971/E971</f>
        <v>2.8075601374570445</v>
      </c>
      <c r="J971">
        <f>YEAR(Table1[[#This Row],[Order Date]])</f>
        <v>2023</v>
      </c>
      <c r="K971" t="str">
        <f>TEXT(Table1[[#This Row],[Order Date]], "MMM")</f>
        <v>Dec</v>
      </c>
    </row>
    <row r="972" spans="1:11">
      <c r="A972">
        <v>1173</v>
      </c>
      <c r="B972" s="4" t="s">
        <v>357</v>
      </c>
      <c r="C972" t="s">
        <v>29</v>
      </c>
      <c r="D972" t="s">
        <v>22</v>
      </c>
      <c r="E972" s="8">
        <v>2183</v>
      </c>
      <c r="F972" s="8">
        <v>535</v>
      </c>
      <c r="G972" t="s">
        <v>18</v>
      </c>
      <c r="H972" t="s">
        <v>19</v>
      </c>
      <c r="I972">
        <f>F972/E972</f>
        <v>0.24507558405863492</v>
      </c>
      <c r="J972">
        <f>YEAR(Table1[[#This Row],[Order Date]])</f>
        <v>2023</v>
      </c>
      <c r="K972" t="str">
        <f>TEXT(Table1[[#This Row],[Order Date]], "MMM")</f>
        <v>Dec</v>
      </c>
    </row>
    <row r="973" spans="1:11">
      <c r="A973">
        <v>1737</v>
      </c>
      <c r="B973" s="4" t="s">
        <v>357</v>
      </c>
      <c r="C973" t="s">
        <v>21</v>
      </c>
      <c r="D973" t="s">
        <v>22</v>
      </c>
      <c r="E973" s="8">
        <v>3042</v>
      </c>
      <c r="F973" s="8">
        <v>902</v>
      </c>
      <c r="G973" t="s">
        <v>30</v>
      </c>
      <c r="H973" t="s">
        <v>15</v>
      </c>
      <c r="I973">
        <f>F973/E973</f>
        <v>0.2965154503616042</v>
      </c>
      <c r="J973">
        <f>YEAR(Table1[[#This Row],[Order Date]])</f>
        <v>2023</v>
      </c>
      <c r="K973" t="str">
        <f>TEXT(Table1[[#This Row],[Order Date]], "MMM")</f>
        <v>Dec</v>
      </c>
    </row>
    <row r="974" spans="1:11">
      <c r="A974">
        <v>1856</v>
      </c>
      <c r="B974" s="4" t="s">
        <v>357</v>
      </c>
      <c r="C974" t="s">
        <v>24</v>
      </c>
      <c r="D974" t="s">
        <v>13</v>
      </c>
      <c r="E974" s="8">
        <v>4178</v>
      </c>
      <c r="F974" s="8">
        <v>441</v>
      </c>
      <c r="G974" t="s">
        <v>14</v>
      </c>
      <c r="H974" t="s">
        <v>15</v>
      </c>
      <c r="I974">
        <f>F974/E974</f>
        <v>0.10555289612254667</v>
      </c>
      <c r="J974">
        <f>YEAR(Table1[[#This Row],[Order Date]])</f>
        <v>2023</v>
      </c>
      <c r="K974" t="str">
        <f>TEXT(Table1[[#This Row],[Order Date]], "MMM")</f>
        <v>Dec</v>
      </c>
    </row>
    <row r="975" spans="1:11">
      <c r="A975">
        <v>1437</v>
      </c>
      <c r="B975" s="4" t="s">
        <v>358</v>
      </c>
      <c r="C975" t="s">
        <v>21</v>
      </c>
      <c r="D975" t="s">
        <v>13</v>
      </c>
      <c r="E975" s="8">
        <v>1661</v>
      </c>
      <c r="F975" s="8">
        <v>392</v>
      </c>
      <c r="G975" t="s">
        <v>18</v>
      </c>
      <c r="H975" t="s">
        <v>19</v>
      </c>
      <c r="I975">
        <f>F975/E975</f>
        <v>0.23600240818783866</v>
      </c>
      <c r="J975">
        <f>YEAR(Table1[[#This Row],[Order Date]])</f>
        <v>2023</v>
      </c>
      <c r="K975" t="str">
        <f>TEXT(Table1[[#This Row],[Order Date]], "MMM")</f>
        <v>Dec</v>
      </c>
    </row>
    <row r="976" spans="1:11">
      <c r="A976">
        <v>1307</v>
      </c>
      <c r="B976" s="4" t="s">
        <v>359</v>
      </c>
      <c r="C976" t="s">
        <v>29</v>
      </c>
      <c r="D976" t="s">
        <v>13</v>
      </c>
      <c r="E976" s="8">
        <v>3542</v>
      </c>
      <c r="F976" s="8">
        <v>262</v>
      </c>
      <c r="G976" t="s">
        <v>23</v>
      </c>
      <c r="H976" t="s">
        <v>15</v>
      </c>
      <c r="I976">
        <f>F976/E976</f>
        <v>7.3969508752117441E-2</v>
      </c>
      <c r="J976">
        <f>YEAR(Table1[[#This Row],[Order Date]])</f>
        <v>2023</v>
      </c>
      <c r="K976" t="str">
        <f>TEXT(Table1[[#This Row],[Order Date]], "MMM")</f>
        <v>Dec</v>
      </c>
    </row>
    <row r="977" spans="1:11">
      <c r="A977">
        <v>1962</v>
      </c>
      <c r="B977" s="4" t="s">
        <v>359</v>
      </c>
      <c r="C977" t="s">
        <v>24</v>
      </c>
      <c r="D977" t="s">
        <v>22</v>
      </c>
      <c r="E977" s="8">
        <v>3542</v>
      </c>
      <c r="F977" s="8">
        <v>259</v>
      </c>
      <c r="G977" t="s">
        <v>23</v>
      </c>
      <c r="H977" t="s">
        <v>15</v>
      </c>
      <c r="I977">
        <f>F977/E977</f>
        <v>7.3122529644268769E-2</v>
      </c>
      <c r="J977">
        <f>YEAR(Table1[[#This Row],[Order Date]])</f>
        <v>2023</v>
      </c>
      <c r="K977" t="str">
        <f>TEXT(Table1[[#This Row],[Order Date]], "MMM")</f>
        <v>Dec</v>
      </c>
    </row>
    <row r="978" spans="1:11">
      <c r="A978">
        <v>1496</v>
      </c>
      <c r="B978" s="4" t="s">
        <v>360</v>
      </c>
      <c r="C978" t="s">
        <v>21</v>
      </c>
      <c r="D978" t="s">
        <v>25</v>
      </c>
      <c r="E978" s="8">
        <v>3405</v>
      </c>
      <c r="F978" s="8">
        <v>244</v>
      </c>
      <c r="G978" t="s">
        <v>30</v>
      </c>
      <c r="H978" t="s">
        <v>19</v>
      </c>
      <c r="I978">
        <f>F978/E978</f>
        <v>7.1659324522760651E-2</v>
      </c>
      <c r="J978">
        <f>YEAR(Table1[[#This Row],[Order Date]])</f>
        <v>2023</v>
      </c>
      <c r="K978" t="str">
        <f>TEXT(Table1[[#This Row],[Order Date]], "MMM")</f>
        <v>Dec</v>
      </c>
    </row>
    <row r="979" spans="1:11">
      <c r="A979">
        <v>1629</v>
      </c>
      <c r="B979" s="4" t="s">
        <v>360</v>
      </c>
      <c r="C979" t="s">
        <v>12</v>
      </c>
      <c r="D979" t="s">
        <v>25</v>
      </c>
      <c r="E979" s="8">
        <v>3430</v>
      </c>
      <c r="F979" s="8">
        <v>316</v>
      </c>
      <c r="G979" t="s">
        <v>14</v>
      </c>
      <c r="H979" t="s">
        <v>19</v>
      </c>
      <c r="I979">
        <f>F979/E979</f>
        <v>9.2128279883381931E-2</v>
      </c>
      <c r="J979">
        <f>YEAR(Table1[[#This Row],[Order Date]])</f>
        <v>2023</v>
      </c>
      <c r="K979" t="str">
        <f>TEXT(Table1[[#This Row],[Order Date]], "MMM")</f>
        <v>Dec</v>
      </c>
    </row>
    <row r="980" spans="1:11">
      <c r="A980">
        <v>1682</v>
      </c>
      <c r="B980" s="4" t="s">
        <v>360</v>
      </c>
      <c r="C980" t="s">
        <v>27</v>
      </c>
      <c r="D980" t="s">
        <v>13</v>
      </c>
      <c r="E980" s="8">
        <v>4666</v>
      </c>
      <c r="F980" s="8">
        <v>976</v>
      </c>
      <c r="G980" t="s">
        <v>14</v>
      </c>
      <c r="H980" t="s">
        <v>15</v>
      </c>
      <c r="I980">
        <f>F980/E980</f>
        <v>0.20917273896270897</v>
      </c>
      <c r="J980">
        <f>YEAR(Table1[[#This Row],[Order Date]])</f>
        <v>2023</v>
      </c>
      <c r="K980" t="str">
        <f>TEXT(Table1[[#This Row],[Order Date]], "MMM")</f>
        <v>Dec</v>
      </c>
    </row>
    <row r="981" spans="1:11">
      <c r="A981">
        <v>1044</v>
      </c>
      <c r="B981" s="4" t="s">
        <v>361</v>
      </c>
      <c r="C981" t="s">
        <v>24</v>
      </c>
      <c r="D981" t="s">
        <v>13</v>
      </c>
      <c r="E981" s="8">
        <v>2888</v>
      </c>
      <c r="F981" s="8">
        <v>279</v>
      </c>
      <c r="G981" t="s">
        <v>23</v>
      </c>
      <c r="H981" t="s">
        <v>19</v>
      </c>
      <c r="I981">
        <f>F981/E981</f>
        <v>9.6606648199445977E-2</v>
      </c>
      <c r="J981">
        <f>YEAR(Table1[[#This Row],[Order Date]])</f>
        <v>2023</v>
      </c>
      <c r="K981" t="str">
        <f>TEXT(Table1[[#This Row],[Order Date]], "MMM")</f>
        <v>Dec</v>
      </c>
    </row>
    <row r="982" spans="1:11">
      <c r="A982">
        <v>1725</v>
      </c>
      <c r="B982" s="4" t="s">
        <v>361</v>
      </c>
      <c r="C982" t="s">
        <v>12</v>
      </c>
      <c r="D982" t="s">
        <v>13</v>
      </c>
      <c r="E982" s="8">
        <v>153</v>
      </c>
      <c r="F982" s="8">
        <v>182</v>
      </c>
      <c r="G982" t="s">
        <v>14</v>
      </c>
      <c r="H982" t="s">
        <v>19</v>
      </c>
      <c r="I982">
        <f>F982/E982</f>
        <v>1.1895424836601307</v>
      </c>
      <c r="J982">
        <f>YEAR(Table1[[#This Row],[Order Date]])</f>
        <v>2023</v>
      </c>
      <c r="K982" t="str">
        <f>TEXT(Table1[[#This Row],[Order Date]], "MMM")</f>
        <v>Dec</v>
      </c>
    </row>
    <row r="983" spans="1:11">
      <c r="A983">
        <v>1277</v>
      </c>
      <c r="B983" s="4" t="s">
        <v>362</v>
      </c>
      <c r="C983" t="s">
        <v>12</v>
      </c>
      <c r="D983" t="s">
        <v>25</v>
      </c>
      <c r="E983" s="8">
        <v>2415</v>
      </c>
      <c r="F983" s="8">
        <v>910</v>
      </c>
      <c r="G983" t="s">
        <v>18</v>
      </c>
      <c r="H983" t="s">
        <v>15</v>
      </c>
      <c r="I983">
        <f>F983/E983</f>
        <v>0.37681159420289856</v>
      </c>
      <c r="J983">
        <f>YEAR(Table1[[#This Row],[Order Date]])</f>
        <v>2023</v>
      </c>
      <c r="K983" t="str">
        <f>TEXT(Table1[[#This Row],[Order Date]], "MMM")</f>
        <v>Dec</v>
      </c>
    </row>
    <row r="984" spans="1:11">
      <c r="A984">
        <v>1417</v>
      </c>
      <c r="B984" s="4" t="s">
        <v>362</v>
      </c>
      <c r="C984" t="s">
        <v>12</v>
      </c>
      <c r="D984" t="s">
        <v>22</v>
      </c>
      <c r="E984" s="8">
        <v>4758</v>
      </c>
      <c r="F984" s="8">
        <v>409</v>
      </c>
      <c r="G984" t="s">
        <v>14</v>
      </c>
      <c r="H984" t="s">
        <v>19</v>
      </c>
      <c r="I984">
        <f>F984/E984</f>
        <v>8.5960487599831867E-2</v>
      </c>
      <c r="J984">
        <f>YEAR(Table1[[#This Row],[Order Date]])</f>
        <v>2023</v>
      </c>
      <c r="K984" t="str">
        <f>TEXT(Table1[[#This Row],[Order Date]], "MMM")</f>
        <v>Dec</v>
      </c>
    </row>
    <row r="985" spans="1:11">
      <c r="A985">
        <v>1422</v>
      </c>
      <c r="B985" s="4" t="s">
        <v>362</v>
      </c>
      <c r="C985" t="s">
        <v>24</v>
      </c>
      <c r="D985" t="s">
        <v>22</v>
      </c>
      <c r="E985" s="8">
        <v>1125</v>
      </c>
      <c r="F985" s="8">
        <v>534</v>
      </c>
      <c r="G985" t="s">
        <v>23</v>
      </c>
      <c r="H985" t="s">
        <v>15</v>
      </c>
      <c r="I985">
        <f>F985/E985</f>
        <v>0.47466666666666668</v>
      </c>
      <c r="J985">
        <f>YEAR(Table1[[#This Row],[Order Date]])</f>
        <v>2023</v>
      </c>
      <c r="K985" t="str">
        <f>TEXT(Table1[[#This Row],[Order Date]], "MMM")</f>
        <v>Dec</v>
      </c>
    </row>
    <row r="986" spans="1:11">
      <c r="A986">
        <v>1865</v>
      </c>
      <c r="B986" s="4" t="s">
        <v>362</v>
      </c>
      <c r="C986" t="s">
        <v>24</v>
      </c>
      <c r="D986" t="s">
        <v>13</v>
      </c>
      <c r="E986" s="8">
        <v>1594</v>
      </c>
      <c r="F986" s="8">
        <v>964</v>
      </c>
      <c r="G986" t="s">
        <v>30</v>
      </c>
      <c r="H986" t="s">
        <v>19</v>
      </c>
      <c r="I986">
        <f>F986/E986</f>
        <v>0.60476787954830613</v>
      </c>
      <c r="J986">
        <f>YEAR(Table1[[#This Row],[Order Date]])</f>
        <v>2023</v>
      </c>
      <c r="K986" t="str">
        <f>TEXT(Table1[[#This Row],[Order Date]], "MMM")</f>
        <v>Dec</v>
      </c>
    </row>
    <row r="987" spans="1:11">
      <c r="A987">
        <v>1814</v>
      </c>
      <c r="B987" s="4" t="s">
        <v>363</v>
      </c>
      <c r="C987" t="s">
        <v>17</v>
      </c>
      <c r="D987" t="s">
        <v>13</v>
      </c>
      <c r="E987" s="8">
        <v>883</v>
      </c>
      <c r="F987" s="8">
        <v>681</v>
      </c>
      <c r="G987" t="s">
        <v>30</v>
      </c>
      <c r="H987" t="s">
        <v>15</v>
      </c>
      <c r="I987">
        <f>F987/E987</f>
        <v>0.77123442808607023</v>
      </c>
      <c r="J987">
        <f>YEAR(Table1[[#This Row],[Order Date]])</f>
        <v>2023</v>
      </c>
      <c r="K987" t="str">
        <f>TEXT(Table1[[#This Row],[Order Date]], "MMM")</f>
        <v>Dec</v>
      </c>
    </row>
    <row r="988" spans="1:11">
      <c r="A988">
        <v>1886</v>
      </c>
      <c r="B988" s="4" t="s">
        <v>363</v>
      </c>
      <c r="C988" t="s">
        <v>27</v>
      </c>
      <c r="D988" t="s">
        <v>25</v>
      </c>
      <c r="E988" s="8">
        <v>3643</v>
      </c>
      <c r="F988" s="8">
        <v>757</v>
      </c>
      <c r="G988" t="s">
        <v>18</v>
      </c>
      <c r="H988" t="s">
        <v>19</v>
      </c>
      <c r="I988">
        <f>F988/E988</f>
        <v>0.20779577271479549</v>
      </c>
      <c r="J988">
        <f>YEAR(Table1[[#This Row],[Order Date]])</f>
        <v>2023</v>
      </c>
      <c r="K988" t="str">
        <f>TEXT(Table1[[#This Row],[Order Date]], "MMM")</f>
        <v>Dec</v>
      </c>
    </row>
    <row r="989" spans="1:11">
      <c r="A989">
        <v>1319</v>
      </c>
      <c r="B989" s="4" t="s">
        <v>364</v>
      </c>
      <c r="C989" t="s">
        <v>17</v>
      </c>
      <c r="D989" t="s">
        <v>13</v>
      </c>
      <c r="E989" s="8">
        <v>3377</v>
      </c>
      <c r="F989" s="8">
        <v>819</v>
      </c>
      <c r="G989" t="s">
        <v>14</v>
      </c>
      <c r="H989" t="s">
        <v>19</v>
      </c>
      <c r="I989">
        <f>F989/E989</f>
        <v>0.24252294936334023</v>
      </c>
      <c r="J989">
        <f>YEAR(Table1[[#This Row],[Order Date]])</f>
        <v>2023</v>
      </c>
      <c r="K989" t="str">
        <f>TEXT(Table1[[#This Row],[Order Date]], "MMM")</f>
        <v>Dec</v>
      </c>
    </row>
    <row r="990" spans="1:11">
      <c r="A990">
        <v>1456</v>
      </c>
      <c r="B990" s="4" t="s">
        <v>364</v>
      </c>
      <c r="C990" t="s">
        <v>12</v>
      </c>
      <c r="D990" t="s">
        <v>22</v>
      </c>
      <c r="E990" s="8">
        <v>2285</v>
      </c>
      <c r="F990" s="8">
        <v>485</v>
      </c>
      <c r="G990" t="s">
        <v>30</v>
      </c>
      <c r="H990" t="s">
        <v>15</v>
      </c>
      <c r="I990">
        <f>F990/E990</f>
        <v>0.21225382932166301</v>
      </c>
      <c r="J990">
        <f>YEAR(Table1[[#This Row],[Order Date]])</f>
        <v>2023</v>
      </c>
      <c r="K990" t="str">
        <f>TEXT(Table1[[#This Row],[Order Date]], "MMM")</f>
        <v>Dec</v>
      </c>
    </row>
    <row r="991" spans="1:11">
      <c r="A991">
        <v>1967</v>
      </c>
      <c r="B991" s="4" t="s">
        <v>365</v>
      </c>
      <c r="C991" t="s">
        <v>27</v>
      </c>
      <c r="D991" t="s">
        <v>25</v>
      </c>
      <c r="E991" s="8">
        <v>1216</v>
      </c>
      <c r="F991" s="8">
        <v>536</v>
      </c>
      <c r="G991" t="s">
        <v>14</v>
      </c>
      <c r="H991" t="s">
        <v>15</v>
      </c>
      <c r="I991">
        <f>F991/E991</f>
        <v>0.44078947368421051</v>
      </c>
      <c r="J991">
        <f>YEAR(Table1[[#This Row],[Order Date]])</f>
        <v>2023</v>
      </c>
      <c r="K991" t="str">
        <f>TEXT(Table1[[#This Row],[Order Date]], "MMM")</f>
        <v>Dec</v>
      </c>
    </row>
    <row r="992" spans="1:11">
      <c r="A992">
        <v>1185</v>
      </c>
      <c r="B992" s="4" t="s">
        <v>366</v>
      </c>
      <c r="C992" t="s">
        <v>21</v>
      </c>
      <c r="D992" t="s">
        <v>13</v>
      </c>
      <c r="E992" s="8">
        <v>4629</v>
      </c>
      <c r="F992" s="8">
        <v>408</v>
      </c>
      <c r="G992" t="s">
        <v>14</v>
      </c>
      <c r="H992" t="s">
        <v>15</v>
      </c>
      <c r="I992">
        <f>F992/E992</f>
        <v>8.8139987038237194E-2</v>
      </c>
      <c r="J992">
        <f>YEAR(Table1[[#This Row],[Order Date]])</f>
        <v>2023</v>
      </c>
      <c r="K992" t="str">
        <f>TEXT(Table1[[#This Row],[Order Date]], "MMM")</f>
        <v>Dec</v>
      </c>
    </row>
    <row r="993" spans="1:11">
      <c r="A993">
        <v>1471</v>
      </c>
      <c r="B993" s="4" t="s">
        <v>367</v>
      </c>
      <c r="C993" t="s">
        <v>24</v>
      </c>
      <c r="D993" t="s">
        <v>13</v>
      </c>
      <c r="E993" s="8">
        <v>3261</v>
      </c>
      <c r="F993" s="8">
        <v>298</v>
      </c>
      <c r="G993" t="s">
        <v>23</v>
      </c>
      <c r="H993" t="s">
        <v>15</v>
      </c>
      <c r="I993">
        <f>F993/E993</f>
        <v>9.1383011346212822E-2</v>
      </c>
      <c r="J993">
        <f>YEAR(Table1[[#This Row],[Order Date]])</f>
        <v>2023</v>
      </c>
      <c r="K993" t="str">
        <f>TEXT(Table1[[#This Row],[Order Date]], "MMM")</f>
        <v>Dec</v>
      </c>
    </row>
    <row r="994" spans="1:11">
      <c r="A994">
        <v>1055</v>
      </c>
      <c r="B994" s="4" t="s">
        <v>368</v>
      </c>
      <c r="C994" t="s">
        <v>24</v>
      </c>
      <c r="D994" t="s">
        <v>25</v>
      </c>
      <c r="E994" s="8">
        <v>4397</v>
      </c>
      <c r="F994" s="8">
        <v>234</v>
      </c>
      <c r="G994" t="s">
        <v>14</v>
      </c>
      <c r="H994" t="s">
        <v>15</v>
      </c>
      <c r="I994">
        <f>F994/E994</f>
        <v>5.3218103252217423E-2</v>
      </c>
      <c r="J994">
        <f>YEAR(Table1[[#This Row],[Order Date]])</f>
        <v>2023</v>
      </c>
      <c r="K994" t="str">
        <f>TEXT(Table1[[#This Row],[Order Date]], "MMM")</f>
        <v>Dec</v>
      </c>
    </row>
    <row r="995" spans="1:11">
      <c r="A995">
        <v>1595</v>
      </c>
      <c r="B995" s="4" t="s">
        <v>368</v>
      </c>
      <c r="C995" t="s">
        <v>24</v>
      </c>
      <c r="D995" t="s">
        <v>22</v>
      </c>
      <c r="E995" s="8">
        <v>1990</v>
      </c>
      <c r="F995" s="8">
        <v>393</v>
      </c>
      <c r="G995" t="s">
        <v>23</v>
      </c>
      <c r="H995" t="s">
        <v>19</v>
      </c>
      <c r="I995">
        <f>F995/E995</f>
        <v>0.19748743718592965</v>
      </c>
      <c r="J995">
        <f>YEAR(Table1[[#This Row],[Order Date]])</f>
        <v>2023</v>
      </c>
      <c r="K995" t="str">
        <f>TEXT(Table1[[#This Row],[Order Date]], "MMM")</f>
        <v>Dec</v>
      </c>
    </row>
    <row r="996" spans="1:11">
      <c r="A996">
        <v>1683</v>
      </c>
      <c r="B996" s="4" t="s">
        <v>368</v>
      </c>
      <c r="C996" t="s">
        <v>29</v>
      </c>
      <c r="D996" t="s">
        <v>13</v>
      </c>
      <c r="E996" s="8">
        <v>2018</v>
      </c>
      <c r="F996" s="8">
        <v>903</v>
      </c>
      <c r="G996" t="s">
        <v>18</v>
      </c>
      <c r="H996" t="s">
        <v>19</v>
      </c>
      <c r="I996">
        <f>F996/E996</f>
        <v>0.44747274529236869</v>
      </c>
      <c r="J996">
        <f>YEAR(Table1[[#This Row],[Order Date]])</f>
        <v>2023</v>
      </c>
      <c r="K996" t="str">
        <f>TEXT(Table1[[#This Row],[Order Date]], "MMM")</f>
        <v>Dec</v>
      </c>
    </row>
    <row r="997" spans="1:11">
      <c r="A997">
        <v>1741</v>
      </c>
      <c r="B997" s="4" t="s">
        <v>368</v>
      </c>
      <c r="C997" t="s">
        <v>28</v>
      </c>
      <c r="D997" t="s">
        <v>25</v>
      </c>
      <c r="E997" s="8">
        <v>2561</v>
      </c>
      <c r="F997" s="8">
        <v>741</v>
      </c>
      <c r="G997" t="s">
        <v>30</v>
      </c>
      <c r="H997" t="s">
        <v>15</v>
      </c>
      <c r="I997">
        <f>F997/E997</f>
        <v>0.28934010152284262</v>
      </c>
      <c r="J997">
        <f>YEAR(Table1[[#This Row],[Order Date]])</f>
        <v>2023</v>
      </c>
      <c r="K997" t="str">
        <f>TEXT(Table1[[#This Row],[Order Date]], "MMM")</f>
        <v>Dec</v>
      </c>
    </row>
    <row r="998" spans="1:11">
      <c r="A998">
        <v>1764</v>
      </c>
      <c r="B998" s="4" t="s">
        <v>368</v>
      </c>
      <c r="C998" t="s">
        <v>27</v>
      </c>
      <c r="D998" t="s">
        <v>22</v>
      </c>
      <c r="E998" s="8">
        <v>568</v>
      </c>
      <c r="F998" s="8">
        <v>676</v>
      </c>
      <c r="G998" t="s">
        <v>23</v>
      </c>
      <c r="H998" t="s">
        <v>15</v>
      </c>
      <c r="I998">
        <f>F998/E998</f>
        <v>1.1901408450704225</v>
      </c>
      <c r="J998">
        <f>YEAR(Table1[[#This Row],[Order Date]])</f>
        <v>2023</v>
      </c>
      <c r="K998" t="str">
        <f>TEXT(Table1[[#This Row],[Order Date]], "MMM")</f>
        <v>Dec</v>
      </c>
    </row>
    <row r="999" spans="1:11">
      <c r="A999">
        <v>1713</v>
      </c>
      <c r="B999" s="4" t="s">
        <v>369</v>
      </c>
      <c r="C999" t="s">
        <v>29</v>
      </c>
      <c r="D999" t="s">
        <v>22</v>
      </c>
      <c r="E999" s="8">
        <v>3135</v>
      </c>
      <c r="F999" s="8">
        <v>279</v>
      </c>
      <c r="G999" t="s">
        <v>14</v>
      </c>
      <c r="H999" t="s">
        <v>19</v>
      </c>
      <c r="I999">
        <f>F999/E999</f>
        <v>8.899521531100478E-2</v>
      </c>
      <c r="J999">
        <f>YEAR(Table1[[#This Row],[Order Date]])</f>
        <v>2024</v>
      </c>
      <c r="K999" t="str">
        <f>TEXT(Table1[[#This Row],[Order Date]], "MMM")</f>
        <v>Jan</v>
      </c>
    </row>
    <row r="1000" spans="1:11">
      <c r="A1000">
        <v>1786</v>
      </c>
      <c r="B1000" s="4" t="s">
        <v>369</v>
      </c>
      <c r="C1000" t="s">
        <v>27</v>
      </c>
      <c r="D1000" t="s">
        <v>25</v>
      </c>
      <c r="E1000" s="8">
        <v>453</v>
      </c>
      <c r="F1000" s="8">
        <v>987</v>
      </c>
      <c r="G1000" t="s">
        <v>14</v>
      </c>
      <c r="H1000" t="s">
        <v>15</v>
      </c>
      <c r="I1000">
        <f>F1000/E1000</f>
        <v>2.1788079470198674</v>
      </c>
      <c r="J1000">
        <f>YEAR(Table1[[#This Row],[Order Date]])</f>
        <v>2024</v>
      </c>
      <c r="K1000" t="str">
        <f>TEXT(Table1[[#This Row],[Order Date]], "MMM")</f>
        <v>Jan</v>
      </c>
    </row>
    <row r="1001" spans="1:11">
      <c r="A1001">
        <v>1827</v>
      </c>
      <c r="B1001" s="4" t="s">
        <v>369</v>
      </c>
      <c r="C1001" t="s">
        <v>12</v>
      </c>
      <c r="D1001" t="s">
        <v>13</v>
      </c>
      <c r="E1001" s="8">
        <v>750</v>
      </c>
      <c r="F1001" s="8">
        <v>268</v>
      </c>
      <c r="G1001" t="s">
        <v>30</v>
      </c>
      <c r="H1001" t="s">
        <v>19</v>
      </c>
      <c r="I1001">
        <f>F1001/E1001</f>
        <v>0.35733333333333334</v>
      </c>
      <c r="J1001">
        <f>YEAR(Table1[[#This Row],[Order Date]])</f>
        <v>2024</v>
      </c>
      <c r="K1001" t="str">
        <f>TEXT(Table1[[#This Row],[Order Date]], "MMM")</f>
        <v>Jan</v>
      </c>
    </row>
  </sheetData>
  <conditionalFormatting sqref="E1:E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{F4C4770B-3AD4-49BC-869E-29630BDCF6F2}</x14:id>
        </ext>
      </extLst>
    </cfRule>
  </conditionalFormatting>
  <conditionalFormatting sqref="F1:F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{C57BD99F-B037-409A-AD41-18CBA49CAAD8}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C4770B-3AD4-49BC-869E-29630BDCF6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C57BD99F-B037-409A-AD41-18CBA49CAA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7DA8-038D-434A-B9F2-1BC10C834214}">
  <sheetPr>
    <pageSetUpPr fitToPage="1"/>
  </sheetPr>
  <dimension ref="A3:C19"/>
  <sheetViews>
    <sheetView workbookViewId="0">
      <selection activeCell="E25" sqref="E25"/>
    </sheetView>
  </sheetViews>
  <sheetFormatPr defaultRowHeight="15"/>
  <cols>
    <col min="1" max="1" width="11.42578125" bestFit="1" customWidth="1"/>
    <col min="2" max="2" width="10" bestFit="1" customWidth="1"/>
    <col min="3" max="3" width="12.140625" bestFit="1" customWidth="1"/>
    <col min="4" max="4" width="10.7109375" bestFit="1" customWidth="1"/>
    <col min="5" max="5" width="11.42578125" bestFit="1" customWidth="1"/>
  </cols>
  <sheetData>
    <row r="3" spans="1:3">
      <c r="A3" s="2" t="s">
        <v>9</v>
      </c>
      <c r="B3" s="2" t="s">
        <v>10</v>
      </c>
      <c r="C3" s="6" t="s">
        <v>370</v>
      </c>
    </row>
    <row r="4" spans="1:3">
      <c r="A4">
        <v>2023</v>
      </c>
      <c r="B4" t="s">
        <v>371</v>
      </c>
      <c r="C4" s="8">
        <v>183752</v>
      </c>
    </row>
    <row r="5" spans="1:3">
      <c r="B5" t="s">
        <v>372</v>
      </c>
      <c r="C5" s="8">
        <v>195160</v>
      </c>
    </row>
    <row r="6" spans="1:3">
      <c r="B6" t="s">
        <v>373</v>
      </c>
      <c r="C6" s="8">
        <v>232304</v>
      </c>
    </row>
    <row r="7" spans="1:3">
      <c r="B7" t="s">
        <v>374</v>
      </c>
      <c r="C7" s="8">
        <v>234972</v>
      </c>
    </row>
    <row r="8" spans="1:3">
      <c r="B8" t="s">
        <v>375</v>
      </c>
      <c r="C8" s="8">
        <v>218494</v>
      </c>
    </row>
    <row r="9" spans="1:3">
      <c r="B9" t="s">
        <v>376</v>
      </c>
      <c r="C9" s="8">
        <v>185548</v>
      </c>
    </row>
    <row r="10" spans="1:3">
      <c r="B10" t="s">
        <v>377</v>
      </c>
      <c r="C10" s="8">
        <v>248883</v>
      </c>
    </row>
    <row r="11" spans="1:3">
      <c r="B11" t="s">
        <v>378</v>
      </c>
      <c r="C11" s="8">
        <v>262183</v>
      </c>
    </row>
    <row r="12" spans="1:3">
      <c r="B12" t="s">
        <v>379</v>
      </c>
      <c r="C12" s="8">
        <v>180360</v>
      </c>
    </row>
    <row r="13" spans="1:3">
      <c r="B13" t="s">
        <v>380</v>
      </c>
      <c r="C13" s="8">
        <v>230705</v>
      </c>
    </row>
    <row r="14" spans="1:3">
      <c r="B14" t="s">
        <v>381</v>
      </c>
      <c r="C14" s="8">
        <v>198071</v>
      </c>
    </row>
    <row r="15" spans="1:3">
      <c r="B15" t="s">
        <v>382</v>
      </c>
      <c r="C15" s="8">
        <v>202147</v>
      </c>
    </row>
    <row r="16" spans="1:3">
      <c r="A16" t="s">
        <v>383</v>
      </c>
      <c r="C16" s="8">
        <v>2572579</v>
      </c>
    </row>
    <row r="17" spans="1:3">
      <c r="A17">
        <v>2024</v>
      </c>
      <c r="B17" t="s">
        <v>371</v>
      </c>
      <c r="C17" s="8">
        <v>4338</v>
      </c>
    </row>
    <row r="18" spans="1:3">
      <c r="A18" t="s">
        <v>384</v>
      </c>
      <c r="C18" s="8">
        <v>4338</v>
      </c>
    </row>
    <row r="19" spans="1:3">
      <c r="A19" t="s">
        <v>385</v>
      </c>
      <c r="C19" s="8">
        <v>2576917</v>
      </c>
    </row>
  </sheetData>
  <pageMargins left="0.7" right="0.7" top="0.75" bottom="0.75" header="0.3" footer="0.3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120F-8387-4790-B15E-C4E49067E18F}">
  <dimension ref="A3:B6"/>
  <sheetViews>
    <sheetView workbookViewId="0">
      <selection activeCell="A3" sqref="A3:B6"/>
    </sheetView>
  </sheetViews>
  <sheetFormatPr defaultRowHeight="15"/>
  <cols>
    <col min="1" max="1" width="17.42578125" bestFit="1" customWidth="1"/>
    <col min="2" max="3" width="12.140625" bestFit="1" customWidth="1"/>
  </cols>
  <sheetData>
    <row r="3" spans="1:2">
      <c r="A3" s="2" t="s">
        <v>7</v>
      </c>
      <c r="B3" s="6" t="s">
        <v>370</v>
      </c>
    </row>
    <row r="4" spans="1:2">
      <c r="A4" t="s">
        <v>15</v>
      </c>
      <c r="B4" s="8">
        <v>1299250</v>
      </c>
    </row>
    <row r="5" spans="1:2">
      <c r="A5" t="s">
        <v>19</v>
      </c>
      <c r="B5" s="8">
        <v>1277667</v>
      </c>
    </row>
    <row r="6" spans="1:2">
      <c r="A6" t="s">
        <v>385</v>
      </c>
      <c r="B6" s="8">
        <v>2576917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5409-08BA-4903-BF8B-B45658023598}">
  <dimension ref="A3:B9"/>
  <sheetViews>
    <sheetView workbookViewId="0">
      <selection activeCell="E7" sqref="E7"/>
    </sheetView>
  </sheetViews>
  <sheetFormatPr defaultRowHeight="15"/>
  <cols>
    <col min="1" max="1" width="11.85546875" bestFit="1" customWidth="1"/>
    <col min="2" max="2" width="12.5703125" bestFit="1" customWidth="1"/>
  </cols>
  <sheetData>
    <row r="3" spans="1:2">
      <c r="A3" s="2" t="s">
        <v>2</v>
      </c>
      <c r="B3" s="6" t="s">
        <v>386</v>
      </c>
    </row>
    <row r="4" spans="1:2">
      <c r="A4" t="s">
        <v>27</v>
      </c>
      <c r="B4" s="8">
        <v>69637</v>
      </c>
    </row>
    <row r="5" spans="1:2">
      <c r="A5" t="s">
        <v>29</v>
      </c>
      <c r="B5" s="8">
        <v>69974</v>
      </c>
    </row>
    <row r="6" spans="1:2">
      <c r="A6" t="s">
        <v>24</v>
      </c>
      <c r="B6" s="8">
        <v>75484</v>
      </c>
    </row>
    <row r="7" spans="1:2">
      <c r="A7" t="s">
        <v>17</v>
      </c>
      <c r="B7" s="8">
        <v>81864</v>
      </c>
    </row>
    <row r="8" spans="1:2">
      <c r="A8" t="s">
        <v>12</v>
      </c>
      <c r="B8" s="8">
        <v>87844</v>
      </c>
    </row>
    <row r="9" spans="1:2">
      <c r="A9" t="s">
        <v>385</v>
      </c>
      <c r="B9" s="8">
        <v>384803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E4E7-9DA6-47D0-81E8-3C02FBE7BD7E}">
  <dimension ref="A3:B8"/>
  <sheetViews>
    <sheetView tabSelected="1" workbookViewId="0">
      <selection activeCell="L8" sqref="L8"/>
    </sheetView>
  </sheetViews>
  <sheetFormatPr defaultRowHeight="15"/>
  <cols>
    <col min="1" max="1" width="11.42578125" bestFit="1" customWidth="1"/>
    <col min="2" max="2" width="12.140625" bestFit="1" customWidth="1"/>
  </cols>
  <sheetData>
    <row r="3" spans="1:2">
      <c r="A3" s="2" t="s">
        <v>6</v>
      </c>
      <c r="B3" s="6" t="s">
        <v>370</v>
      </c>
    </row>
    <row r="4" spans="1:2">
      <c r="A4" t="s">
        <v>23</v>
      </c>
      <c r="B4" s="8">
        <v>700051</v>
      </c>
    </row>
    <row r="5" spans="1:2">
      <c r="A5" t="s">
        <v>18</v>
      </c>
      <c r="B5" s="8">
        <v>635435</v>
      </c>
    </row>
    <row r="6" spans="1:2">
      <c r="A6" t="s">
        <v>30</v>
      </c>
      <c r="B6" s="8">
        <v>624925</v>
      </c>
    </row>
    <row r="7" spans="1:2">
      <c r="A7" t="s">
        <v>14</v>
      </c>
      <c r="B7" s="8">
        <v>616506</v>
      </c>
    </row>
    <row r="8" spans="1:2">
      <c r="A8" t="s">
        <v>385</v>
      </c>
      <c r="B8" s="8">
        <v>2576917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3DB8-97BE-4985-8CEF-35AF1C6FD734}">
  <dimension ref="A1"/>
  <sheetViews>
    <sheetView workbookViewId="0">
      <selection activeCell="U5" sqref="U5"/>
    </sheetView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527-77F4-4AAD-B873-7EDD570D4750}">
  <dimension ref="A1"/>
  <sheetViews>
    <sheetView topLeftCell="A6" workbookViewId="0">
      <selection activeCell="Q4" sqref="Q4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Damaris Barasa</cp:lastModifiedBy>
  <cp:revision/>
  <dcterms:created xsi:type="dcterms:W3CDTF">2025-03-31T12:27:59Z</dcterms:created>
  <dcterms:modified xsi:type="dcterms:W3CDTF">2026-10-01T09:35:41Z</dcterms:modified>
  <cp:category/>
  <cp:contentStatus/>
</cp:coreProperties>
</file>